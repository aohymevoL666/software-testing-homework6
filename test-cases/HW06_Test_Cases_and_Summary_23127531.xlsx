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46d7eddbf27d42f2" /></Relationships>
</file>

<file path=xl/workbook.xml><?xml version="1.0" encoding="utf-8"?>
<x:workbook xmlns:x="http://schemas.openxmlformats.org/spreadsheetml/2006/main">
  <x:sheets>
    <x:sheet xmlns:r="http://schemas.openxmlformats.org/officeDocument/2006/relationships" name="API1 Registration" sheetId="1" r:id="R36acd07177aa4618"/>
    <x:sheet xmlns:r="http://schemas.openxmlformats.org/officeDocument/2006/relationships" name="API2 Cart" sheetId="2" r:id="R611f50e7f7b7459b"/>
    <x:sheet xmlns:r="http://schemas.openxmlformats.org/officeDocument/2006/relationships" name="API3 Access" sheetId="3" r:id="R6006ddcd58004fb5"/>
    <x:sheet xmlns:r="http://schemas.openxmlformats.org/officeDocument/2006/relationships" name="Bug Register" sheetId="4" r:id="Rbcef9ca136ce4a1a"/>
    <x:sheet xmlns:r="http://schemas.openxmlformats.org/officeDocument/2006/relationships" name="Summary" sheetId="5" r:id="R69591819f78f4ce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color rgb="FF1F1F1F"/>
      <x:name val="Carlito"/>
    </x:font>
    <x:font>
      <x:i/>
      <x:sz val="11"/>
      <x:color rgb="FF595959"/>
      <x:name val="Carlito"/>
    </x:font>
    <x:font>
      <x:b/>
      <x:sz val="11"/>
      <x:color rgb="FFFFFFFF"/>
      <x:name val="Carlito"/>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2F75B5"/>
      </x:patternFill>
    </x:fill>
  </x:fills>
  <x:borders count="2">
    <x:border/>
    <x:border/>
  </x:borders>
  <x:cellStyleXfs count="1">
    <x:xf numFmtId="0" fontId="0" fillId="0" borderId="0"/>
  </x:cellStyleXfs>
  <x:cellXfs count="5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3" borderId="0" xfId="0" applyNumberFormat="1" applyFont="1" applyFill="1" applyBorder="1" applyAlignment="1">
      <x:alignment vertical="center" wrapText="1"/>
    </x:xf>
    <x:xf numFmtId="0" fontId="2" fillId="3" borderId="1" xfId="0" applyNumberFormat="1" applyFont="1" applyFill="1" applyBorder="1" applyAlignment="1">
      <x:alignment vertical="center" wrapText="1"/>
    </x:xf>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0" borderId="0" xfId="0" applyNumberFormat="1" applyFont="1" applyFill="1" applyBorder="1" applyAlignment="1">
      <x:alignment wrapText="0"/>
    </x:xf>
    <x:xf numFmtId="0" fontId="0" fillId="0" borderId="1" xfId="0" applyNumberFormat="1" applyFont="1" applyFill="1" applyBorder="1" applyAlignment="1">
      <x:alignment wrapText="0"/>
    </x:xf>
    <x:xf numFmtId="0" fontId="0" fillId="0" borderId="0" xfId="0" applyNumberFormat="1" applyFont="1" applyFill="1" applyBorder="1" applyAlignment="1">
      <x:alignment vertical="center"/>
    </x:xf>
    <x:xf numFmtId="0" fontId="0" fillId="0" borderId="0" xfId="0" applyNumberFormat="1" applyFont="1" applyFill="1" applyBorder="1" applyAlignment="1">
      <x:alignment vertical="center" wrapText="0"/>
    </x:xf>
  </x:cellXfs>
  <x:cellStyles count="1">
    <x:cellStyle name="Normal" xfId="0"/>
  </x:cellStyles>
  <x:dxfs count="23">
    <x:dxf>
      <x:font>
        <x:b/>
        <x:color rgb="FF375623"/>
      </x:font>
      <x:fill>
        <x:patternFill patternType="solid">
          <x:bgColor rgb="FFE2F0D9"/>
        </x:patternFill>
      </x:fill>
    </x:dxf>
    <x:dxf>
      <x:font>
        <x:b/>
        <x:color rgb="FF9C0006"/>
      </x:font>
      <x:fill>
        <x:patternFill patternType="solid">
          <x:bgColor rgb="FFF4CCCC"/>
        </x:patternFill>
      </x:fill>
    </x:dxf>
    <x:dxf>
      <x:font>
        <x:b/>
        <x:color rgb="FF7F6000"/>
      </x:font>
      <x:fill>
        <x:patternFill patternType="solid">
          <x:bgColor rgb="FFFFF2CC"/>
        </x:patternFill>
      </x:fill>
    </x:dxf>
    <x:dxf>
      <x:font>
        <x:b/>
        <x:color rgb="FF1F4E78"/>
      </x:font>
      <x:fill>
        <x:patternFill patternType="solid">
          <x:bgColor rgb="FFD9EAF7"/>
        </x:patternFill>
      </x:fill>
    </x:dxf>
    <x:dxf>
      <x:font>
        <x:b/>
        <x:color rgb="FF375623"/>
      </x:font>
      <x:fill>
        <x:patternFill patternType="solid">
          <x:bgColor rgb="FFE2F0D9"/>
        </x:patternFill>
      </x:fill>
    </x:dxf>
    <x:dxf>
      <x:font>
        <x:b/>
        <x:color rgb="FF9C0006"/>
      </x:font>
      <x:fill>
        <x:patternFill patternType="solid">
          <x:bgColor rgb="FFF4CCCC"/>
        </x:patternFill>
      </x:fill>
    </x:dxf>
    <x:dxf>
      <x:font>
        <x:b/>
        <x:color rgb="FF595959"/>
      </x:font>
      <x:fill>
        <x:patternFill patternType="solid">
          <x:bgColor rgb="FFE7E6E6"/>
        </x:patternFill>
      </x:fill>
    </x:dxf>
    <x:dxf>
      <x:font>
        <x:b/>
        <x:color rgb="FF375623"/>
      </x:font>
      <x:fill>
        <x:patternFill patternType="solid">
          <x:bgColor rgb="FFE2F0D9"/>
        </x:patternFill>
      </x:fill>
    </x:dxf>
    <x:dxf>
      <x:font>
        <x:b/>
        <x:color rgb="FF9C0006"/>
      </x:font>
      <x:fill>
        <x:patternFill patternType="solid">
          <x:bgColor rgb="FFF4CCCC"/>
        </x:patternFill>
      </x:fill>
    </x:dxf>
    <x:dxf>
      <x:font>
        <x:b/>
        <x:color rgb="FF7F6000"/>
      </x:font>
      <x:fill>
        <x:patternFill patternType="solid">
          <x:bgColor rgb="FFFFF2CC"/>
        </x:patternFill>
      </x:fill>
    </x:dxf>
    <x:dxf>
      <x:font>
        <x:b/>
        <x:color rgb="FF1F4E78"/>
      </x:font>
      <x:fill>
        <x:patternFill patternType="solid">
          <x:bgColor rgb="FFD9EAF7"/>
        </x:patternFill>
      </x:fill>
    </x:dxf>
    <x:dxf>
      <x:font>
        <x:b/>
        <x:color rgb="FF375623"/>
      </x:font>
      <x:fill>
        <x:patternFill patternType="solid">
          <x:bgColor rgb="FFE2F0D9"/>
        </x:patternFill>
      </x:fill>
    </x:dxf>
    <x:dxf>
      <x:font>
        <x:b/>
        <x:color rgb="FF9C0006"/>
      </x:font>
      <x:fill>
        <x:patternFill patternType="solid">
          <x:bgColor rgb="FFF4CCCC"/>
        </x:patternFill>
      </x:fill>
    </x:dxf>
    <x:dxf>
      <x:font>
        <x:b/>
        <x:color rgb="FF595959"/>
      </x:font>
      <x:fill>
        <x:patternFill patternType="solid">
          <x:bgColor rgb="FFE7E6E6"/>
        </x:patternFill>
      </x:fill>
    </x:dxf>
    <x:dxf>
      <x:font>
        <x:b/>
        <x:color rgb="FF375623"/>
      </x:font>
      <x:fill>
        <x:patternFill patternType="solid">
          <x:bgColor rgb="FFE2F0D9"/>
        </x:patternFill>
      </x:fill>
    </x:dxf>
    <x:dxf>
      <x:font>
        <x:b/>
        <x:color rgb="FF9C0006"/>
      </x:font>
      <x:fill>
        <x:patternFill patternType="solid">
          <x:bgColor rgb="FFF4CCCC"/>
        </x:patternFill>
      </x:fill>
    </x:dxf>
    <x:dxf>
      <x:font>
        <x:b/>
        <x:color rgb="FF7F6000"/>
      </x:font>
      <x:fill>
        <x:patternFill patternType="solid">
          <x:bgColor rgb="FFFFF2CC"/>
        </x:patternFill>
      </x:fill>
    </x:dxf>
    <x:dxf>
      <x:font>
        <x:b/>
        <x:color rgb="FF1F4E78"/>
      </x:font>
      <x:fill>
        <x:patternFill patternType="solid">
          <x:bgColor rgb="FFD9EAF7"/>
        </x:patternFill>
      </x:fill>
    </x:dxf>
    <x:dxf>
      <x:font>
        <x:b/>
        <x:color rgb="FF375623"/>
      </x:font>
      <x:fill>
        <x:patternFill patternType="solid">
          <x:bgColor rgb="FFE2F0D9"/>
        </x:patternFill>
      </x:fill>
    </x:dxf>
    <x:dxf>
      <x:font>
        <x:b/>
        <x:color rgb="FF9C0006"/>
      </x:font>
      <x:fill>
        <x:patternFill patternType="solid">
          <x:bgColor rgb="FFF4CCCC"/>
        </x:patternFill>
      </x:fill>
    </x:dxf>
    <x:dxf>
      <x:font>
        <x:b/>
        <x:color rgb="FF595959"/>
      </x:font>
      <x:fill>
        <x:patternFill patternType="solid">
          <x:bgColor rgb="FFE7E6E6"/>
        </x:patternFill>
      </x:fill>
    </x:dxf>
    <x:dxf>
      <x:font>
        <x:b/>
        <x:color rgb="FF9C0006"/>
      </x:font>
      <x:fill>
        <x:patternFill patternType="solid">
          <x:bgColor rgb="FFF4CC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2cf02300fcf4f7a" /><Relationship Type="http://schemas.openxmlformats.org/officeDocument/2006/relationships/theme" Target="/xl/theme/theme1.xml" Id="R0dcb3ac32c834162" /><Relationship Type="http://schemas.openxmlformats.org/officeDocument/2006/relationships/sharedStrings" Target="/xl/sharedStrings.xml" Id="Rbed6119fc26f421a" /><Relationship Type="http://schemas.openxmlformats.org/officeDocument/2006/relationships/worksheet" Target="/xl/worksheets/sheet1.xml" Id="R36acd07177aa4618" /><Relationship Type="http://schemas.openxmlformats.org/officeDocument/2006/relationships/worksheet" Target="/xl/worksheets/sheet2.xml" Id="R611f50e7f7b7459b" /><Relationship Type="http://schemas.openxmlformats.org/officeDocument/2006/relationships/worksheet" Target="/xl/worksheets/sheet3.xml" Id="R6006ddcd58004fb5" /><Relationship Type="http://schemas.openxmlformats.org/officeDocument/2006/relationships/worksheet" Target="/xl/worksheets/sheet4.xml" Id="Rbcef9ca136ce4a1a" /><Relationship Type="http://schemas.openxmlformats.org/officeDocument/2006/relationships/worksheet" Target="/xl/worksheets/sheet5.xml" Id="R69591819f78f4ce5" /></Relationships>
</file>

<file path=xl/drawings/_rels/drawing1.xml.rels>&#65279;<?xml version="1.0" encoding="utf-8"?><Relationships xmlns="http://schemas.openxmlformats.org/package/2006/relationships"><Relationship Type="http://schemas.openxmlformats.org/officeDocument/2006/relationships/chart" Target="/xl/drawings/charts/chart1.xml" Id="R9eef51e12f4347f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API Test Execution Overview</a:t>
            </a:r>
          </a:p>
        </c:rich>
      </c:tx>
    </c:title>
    <c:plotArea>
      <c:barChart>
        <c:barDir val="col"/>
        <c:grouping val="clustered"/>
        <c:varyColors val="0"/>
        <c:ser>
          <c:idx val="0"/>
          <c:order val="0"/>
          <c:tx>
            <c:v>Total Cases</c:v>
          </c:tx>
          <c:cat>
            <c:strRef>
              <c:f>'Summary'!$A$12:$A$14</c:f>
              <c:strCache>
                <c:ptCount val="0"/>
              </c:strCache>
            </c:strRef>
          </c:cat>
          <c:val>
            <c:numRef>
              <c:f>'Summary'!$B$12:$B$14</c:f>
              <c:numCache>
                <c:formatCode>General</c:formatCode>
                <c:ptCount val="0"/>
              </c:numCache>
            </c:numRef>
          </c:val>
        </c:ser>
        <c:ser>
          <c:idx val="1"/>
          <c:order val="1"/>
          <c:tx>
            <c:v>Executed</c:v>
          </c:tx>
          <c:cat>
            <c:strRef>
              <c:f>'Summary'!$A$12:$A$14</c:f>
              <c:strCache>
                <c:ptCount val="0"/>
              </c:strCache>
            </c:strRef>
          </c:cat>
          <c:val>
            <c:numRef>
              <c:f>'Summary'!$C$12:$C$14</c:f>
              <c:numCache>
                <c:formatCode>General</c:formatCode>
                <c:ptCount val="0"/>
              </c:numCache>
            </c:numRef>
          </c:val>
        </c:ser>
        <c:ser>
          <c:idx val="2"/>
          <c:order val="2"/>
          <c:tx>
            <c:v>PASS</c:v>
          </c:tx>
          <c:cat>
            <c:strRef>
              <c:f>'Summary'!$A$12:$A$14</c:f>
              <c:strCache>
                <c:ptCount val="0"/>
              </c:strCache>
            </c:strRef>
          </c:cat>
          <c:val>
            <c:numRef>
              <c:f>'Summary'!$D$12:$D$14</c:f>
              <c:numCache>
                <c:formatCode>General</c:formatCode>
                <c:ptCount val="0"/>
              </c:numCache>
            </c:numRef>
          </c:val>
        </c:ser>
        <c:ser>
          <c:idx val="3"/>
          <c:order val="3"/>
          <c:tx>
            <c:v>FAIL</c:v>
          </c:tx>
          <c:cat>
            <c:strRef>
              <c:f>'Summary'!$A$12:$A$14</c:f>
              <c:strCache>
                <c:ptCount val="0"/>
              </c:strCache>
            </c:strRef>
          </c:cat>
          <c:val>
            <c:numRef>
              <c:f>'Summary'!$E$12:$E$14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10</xdr:row>
      <xdr:rowOff>0</xdr:rowOff>
    </xdr:from>
    <xdr:to>
      <xdr:col>14</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eef51e12f4347f2"/>
        </a:graphicData>
      </a:graphic>
    </xdr:graphicFrame>
    <xdr:clientData/>
  </xdr:twoCellAnchor>
</xdr:wsDr>
</file>

<file path=xl/tables/table1.xml><?xml version="1.0" encoding="utf-8"?>
<x:table xmlns:x="http://schemas.openxmlformats.org/spreadsheetml/2006/main" id="1" name="API1Cases" displayName="API1Cases" ref="A4:Q52" headerRowCount="1" totalsRowCount="0" totalsRowShown="0">
  <x:tableColumns count="17">
    <x:tableColumn id="1" name="Test Case ID"/>
    <x:tableColumn id="2" name="Origin"/>
    <x:tableColumn id="3" name="Category"/>
    <x:tableColumn id="4" name="Objective"/>
    <x:tableColumn id="5" name="Request / Test Data"/>
    <x:tableColumn id="6" name="Authentication / Setup"/>
    <x:tableColumn id="7" name="AI Draft Expected HTTP"/>
    <x:tableColumn id="8" name="AI Draft Expected Result"/>
    <x:tableColumn id="9" name="Coverage Basis / Why AI Missed"/>
    <x:tableColumn id="10" name="Audit Label"/>
    <x:tableColumn id="11" name="Human Review Reasoning"/>
    <x:tableColumn id="12" name="Corrected / Final Oracle"/>
    <x:tableColumn id="13" name="Execution Mode"/>
    <x:tableColumn id="14" name="Execution Status"/>
    <x:tableColumn id="15" name="Actual Result / Observation"/>
    <x:tableColumn id="16" name="Bug / GitHub Issue"/>
    <x:tableColumn id="17" name="Source Artifact"/>
  </x:tableColumns>
  <x:tableStyleInfo name="TableStyleMedium2" showFirstColumn="0" showLastColumn="0" showRowStripes="1" showColumnStripes="0"/>
</x:table>
</file>

<file path=xl/tables/table2.xml><?xml version="1.0" encoding="utf-8"?>
<x:table xmlns:x="http://schemas.openxmlformats.org/spreadsheetml/2006/main" id="2" name="API2Cases" displayName="API2Cases" ref="A4:Q52" headerRowCount="1" totalsRowCount="0" totalsRowShown="0">
  <x:tableColumns count="17">
    <x:tableColumn id="1" name="Test Case ID"/>
    <x:tableColumn id="2" name="Origin"/>
    <x:tableColumn id="3" name="Category"/>
    <x:tableColumn id="4" name="Objective"/>
    <x:tableColumn id="5" name="Request / Test Data"/>
    <x:tableColumn id="6" name="Authentication / Setup"/>
    <x:tableColumn id="7" name="AI Draft Expected HTTP"/>
    <x:tableColumn id="8" name="AI Draft Expected Result"/>
    <x:tableColumn id="9" name="Coverage Basis / Why AI Missed"/>
    <x:tableColumn id="10" name="Audit Label"/>
    <x:tableColumn id="11" name="Human Review Reasoning"/>
    <x:tableColumn id="12" name="Corrected / Final Oracle"/>
    <x:tableColumn id="13" name="Execution Mode"/>
    <x:tableColumn id="14" name="Execution Status"/>
    <x:tableColumn id="15" name="Actual Result / Observation"/>
    <x:tableColumn id="16" name="Bug / GitHub Issue"/>
    <x:tableColumn id="17" name="Source Artifact"/>
  </x:tableColumns>
  <x:tableStyleInfo name="TableStyleMedium2" showFirstColumn="0" showLastColumn="0" showRowStripes="1" showColumnStripes="0"/>
</x:table>
</file>

<file path=xl/tables/table3.xml><?xml version="1.0" encoding="utf-8"?>
<x:table xmlns:x="http://schemas.openxmlformats.org/spreadsheetml/2006/main" id="3" name="API3Cases" displayName="API3Cases" ref="A4:Q52" headerRowCount="1" totalsRowCount="0" totalsRowShown="0">
  <x:tableColumns count="17">
    <x:tableColumn id="1" name="Test Case ID"/>
    <x:tableColumn id="2" name="Origin"/>
    <x:tableColumn id="3" name="Category"/>
    <x:tableColumn id="4" name="Objective"/>
    <x:tableColumn id="5" name="Request / Test Data"/>
    <x:tableColumn id="6" name="Authentication / Setup"/>
    <x:tableColumn id="7" name="AI Draft Expected HTTP"/>
    <x:tableColumn id="8" name="AI Draft Expected Result"/>
    <x:tableColumn id="9" name="Coverage Basis / Why AI Missed"/>
    <x:tableColumn id="10" name="Audit Label"/>
    <x:tableColumn id="11" name="Human Review Reasoning"/>
    <x:tableColumn id="12" name="Corrected / Final Oracle"/>
    <x:tableColumn id="13" name="Execution Mode"/>
    <x:tableColumn id="14" name="Execution Status"/>
    <x:tableColumn id="15" name="Actual Result / Observation"/>
    <x:tableColumn id="16" name="Bug / GitHub Issue"/>
    <x:tableColumn id="17" name="Source Artifact"/>
  </x:tableColumns>
  <x:tableStyleInfo name="TableStyleMedium2" showFirstColumn="0" showLastColumn="0" showRowStripes="1" showColumnStripes="0"/>
</x:table>
</file>

<file path=xl/tables/table4.xml><?xml version="1.0" encoding="utf-8"?>
<x:table xmlns:x="http://schemas.openxmlformats.org/spreadsheetml/2006/main" id="4" name="BugRegisterTable" displayName="BugRegisterTable" ref="A3:F7" headerRowCount="1" totalsRowCount="0" totalsRowShown="0">
  <x:tableColumns count="6">
    <x:tableColumn id="1" name="Issue"/>
    <x:tableColumn id="2" name="API"/>
    <x:tableColumn id="3" name="Title"/>
    <x:tableColumn id="4" name="Severity"/>
    <x:tableColumn id="5" name="Primary Evidence"/>
    <x:tableColumn id="6" name="GitHub Issue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9b444d275964ad2" /></Relationships>
</file>

<file path=xl/worksheets/_rels/sheet2.xml.rels>&#65279;<?xml version="1.0" encoding="utf-8"?><Relationships xmlns="http://schemas.openxmlformats.org/package/2006/relationships"><Relationship Type="http://schemas.openxmlformats.org/officeDocument/2006/relationships/table" Target="/xl/tables/table2.xml" Id="R8da8f51162ac4b52" /></Relationships>
</file>

<file path=xl/worksheets/_rels/sheet3.xml.rels>&#65279;<?xml version="1.0" encoding="utf-8"?><Relationships xmlns="http://schemas.openxmlformats.org/package/2006/relationships"><Relationship Type="http://schemas.openxmlformats.org/officeDocument/2006/relationships/table" Target="/xl/tables/table3.xml" Id="R9ed295a644f848ee" /></Relationships>
</file>

<file path=xl/worksheets/_rels/sheet4.xml.rels>&#65279;<?xml version="1.0" encoding="utf-8"?><Relationships xmlns="http://schemas.openxmlformats.org/package/2006/relationships"><Relationship Type="http://schemas.openxmlformats.org/officeDocument/2006/relationships/table" Target="/xl/tables/table4.xml" Id="R802d8998cf4e450f" /></Relationships>
</file>

<file path=xl/worksheets/_rels/sheet5.xml.rels>&#65279;<?xml version="1.0" encoding="utf-8"?><Relationships xmlns="http://schemas.openxmlformats.org/package/2006/relationships"><Relationship Type="http://schemas.openxmlformats.org/officeDocument/2006/relationships/drawing" Target="/xl/drawings/drawing1.xml" Id="R1bb6089d4d2945c5" /></Relationships>
</file>

<file path=xl/worksheets/sheet1.xml><?xml version="1.0" encoding="utf-8"?>
<x:worksheet xmlns:x="http://schemas.openxmlformats.org/spreadsheetml/2006/main">
  <x:sheetFormatPr defaultRowHeight="15"/>
  <x:cols>
    <x:col min="1" max="1" width="16" hidden="0" customWidth="1"/>
    <x:col min="2" max="2" width="16" hidden="0" customWidth="1"/>
    <x:col min="3" max="3" width="25" hidden="0" customWidth="1"/>
    <x:col min="4" max="4" width="36" hidden="0" customWidth="1"/>
    <x:col min="5" max="5" width="44" hidden="0" customWidth="1"/>
    <x:col min="6" max="6" width="24" hidden="0" customWidth="1"/>
    <x:col min="7" max="7" width="18" hidden="0" customWidth="1"/>
    <x:col min="8" max="8" width="36" hidden="0" customWidth="1"/>
    <x:col min="9" max="9" width="38" hidden="0" customWidth="1"/>
    <x:col min="10" max="10" width="16" hidden="0" customWidth="1"/>
    <x:col min="11" max="11" width="44" hidden="0" customWidth="1"/>
    <x:col min="12" max="12" width="44" hidden="0" customWidth="1"/>
    <x:col min="13" max="13" width="17" hidden="0" customWidth="1"/>
    <x:col min="14" max="14" width="16" hidden="0" customWidth="1"/>
    <x:col min="15" max="15" width="40" hidden="0" customWidth="1"/>
    <x:col min="16" max="16" width="38" hidden="0" customWidth="1"/>
    <x:col min="17" max="17" width="34" hidden="0" customWidth="1"/>
  </x:cols>
  <x:sheetData>
    <x:row r="1" ht="28" customHeight="1">
      <x:c r="A1" s="5" t="str">
        <x:v>HW06 — API 1 Test Cases</x:v>
      </x:c>
      <x:c r="B1" s="5"/>
      <x:c r="C1" s="5"/>
      <x:c r="D1" s="5"/>
      <x:c r="E1" s="5"/>
      <x:c r="F1" s="5"/>
      <x:c r="G1" s="5"/>
      <x:c r="H1" s="5"/>
      <x:c r="I1" s="5"/>
      <x:c r="J1" s="5"/>
      <x:c r="K1" s="5"/>
      <x:c r="L1" s="5"/>
      <x:c r="M1" s="5"/>
      <x:c r="N1" s="5"/>
      <x:c r="O1" s="5"/>
      <x:c r="P1" s="5"/>
      <x:c r="Q1" s="5"/>
    </x:row>
    <x:row r="2">
      <x:c r="A2" s="12" t="str">
        <x:v>Feature</x:v>
      </x:c>
      <x:c r="B2" s="16" t="str">
        <x:v>FR-01 Account Registration</x:v>
      </x:c>
      <x:c r="C2" s="12" t="str">
        <x:v>Endpoint</x:v>
      </x:c>
      <x:c r="D2" s="16" t="str">
        <x:v>POST /api/register</x:v>
      </x:c>
      <x:c r="E2" s="12" t="str">
        <x:v>Student ID</x:v>
      </x:c>
      <x:c r="F2" t="str">
        <x:v>23127531</x:v>
      </x:c>
    </x:row>
    <x:row r="3" ht="34" customHeight="1">
      <x:c r="A3" s="21" t="str">
        <x:v>AI draft expectations are preserved separately from the Human Audit. Execution Status reflects the final executable suite; PASS can represent either a conformance pass or a passed characterization assertion after the AI oracle was corrected.</x:v>
      </x:c>
      <x:c r="B3" s="21"/>
      <x:c r="C3" s="21"/>
      <x:c r="D3" s="21"/>
      <x:c r="E3" s="21"/>
      <x:c r="F3" s="21"/>
      <x:c r="G3" s="21"/>
      <x:c r="H3" s="21"/>
      <x:c r="I3" s="21"/>
      <x:c r="J3" s="21"/>
      <x:c r="K3" s="21"/>
      <x:c r="L3" s="21"/>
      <x:c r="M3" s="21"/>
      <x:c r="N3" s="21"/>
      <x:c r="O3" s="21"/>
      <x:c r="P3" s="21"/>
      <x:c r="Q3" s="21"/>
    </x:row>
    <x:row r="4" ht="38" customHeight="1">
      <x:c r="A4" s="30" t="str">
        <x:v>Test Case ID</x:v>
      </x:c>
      <x:c r="B4" s="30" t="str">
        <x:v>Origin</x:v>
      </x:c>
      <x:c r="C4" s="30" t="str">
        <x:v>Category</x:v>
      </x:c>
      <x:c r="D4" s="30" t="str">
        <x:v>Objective</x:v>
      </x:c>
      <x:c r="E4" s="30" t="str">
        <x:v>Request / Test Data</x:v>
      </x:c>
      <x:c r="F4" s="30" t="str">
        <x:v>Authentication / Setup</x:v>
      </x:c>
      <x:c r="G4" s="30" t="str">
        <x:v>AI Draft Expected HTTP</x:v>
      </x:c>
      <x:c r="H4" s="30" t="str">
        <x:v>AI Draft Expected Result</x:v>
      </x:c>
      <x:c r="I4" s="30" t="str">
        <x:v>Coverage Basis / Why AI Missed</x:v>
      </x:c>
      <x:c r="J4" s="30" t="str">
        <x:v>Audit Label</x:v>
      </x:c>
      <x:c r="K4" s="30" t="str">
        <x:v>Human Review Reasoning</x:v>
      </x:c>
      <x:c r="L4" s="30" t="str">
        <x:v>Corrected / Final Oracle</x:v>
      </x:c>
      <x:c r="M4" s="30" t="str">
        <x:v>Execution Mode</x:v>
      </x:c>
      <x:c r="N4" s="30" t="str">
        <x:v>Execution Status</x:v>
      </x:c>
      <x:c r="O4" s="30" t="str">
        <x:v>Actual Result / Observation</x:v>
      </x:c>
      <x:c r="P4" s="30" t="str">
        <x:v>Bug / GitHub Issue</x:v>
      </x:c>
      <x:c r="Q4" s="30" t="str">
        <x:v>Source Artifact</x:v>
      </x:c>
    </x:row>
    <x:row r="5" ht="48" customHeight="1">
      <x:c r="A5" s="36" t="str">
        <x:v>REG-AI-001</x:v>
      </x:c>
      <x:c r="B5" s="36" t="str">
        <x:v>AI Generated</x:v>
      </x:c>
      <x:c r="C5" s="36" t="str">
        <x:v>Positive / baseline</x:v>
      </x:c>
      <x:c r="D5" s="36" t="str">
        <x:v>Register with typical valid values</x:v>
      </x:c>
      <x:c r="E5" s="36" t="str">
        <x:v>{"name":"Nguyen Van A","email":"hw06.reg001@example.com","password":"Password123!"}</x:v>
      </x:c>
      <x:c r="F5" s="36" t="str"/>
      <x:c r="G5" s="36" t="str">
        <x:v>200</x:v>
      </x:c>
      <x:c r="H5" s="36" t="str">
        <x:v>Response contains success message and integer id</x:v>
      </x:c>
      <x:c r="I5" s="36" t="str">
        <x:v>API specification success example</x:v>
      </x:c>
      <x:c r="J5" s="36" t="str">
        <x:v>VALID</x:v>
      </x:c>
      <x:c r="K5" s="36" t="str">
        <x:v>The API spec explicitly defines this normal registration shape and 200 success response.</x:v>
      </x:c>
      <x:c r="L5" s="36" t="str">
        <x:v>200; exact JSON keys `message` and `id`; message = `User registered successfully`; `id` is numeric.</x:v>
      </x:c>
      <x:c r="M5" s="36" t="str">
        <x:v>Automated Newman</x:v>
      </x:c>
      <x:c r="N5" s="36" t="str">
        <x:v>PASS</x:v>
      </x:c>
      <x:c r="O5" s="36" t="str">
        <x:v>Executed successfully; corrected/characterization assertions passed.</x:v>
      </x:c>
      <x:c r="P5" s="36" t="str"/>
      <x:c r="Q5" s="36" t="str">
        <x:v>api1_registration_ai_generated.md; api1_registration_audit.md</x:v>
      </x:c>
    </x:row>
    <x:row r="6" ht="48" customHeight="1">
      <x:c r="A6" s="36" t="str">
        <x:v>REG-AI-002</x:v>
      </x:c>
      <x:c r="B6" s="36" t="str">
        <x:v>AI Generated</x:v>
      </x:c>
      <x:c r="C6" s="36" t="str">
        <x:v>Name / valid partition</x:v>
      </x:c>
      <x:c r="D6" s="36" t="str">
        <x:v>Vietnamese Unicode name</x:v>
      </x:c>
      <x:c r="E6" s="36" t="str">
        <x:v>{"name":"Nguyễn Văn Ánh","email":"hw06.reg002@example.com","password":"Password123!"}</x:v>
      </x:c>
      <x:c r="F6" s="36" t="str"/>
      <x:c r="G6" s="36" t="str">
        <x:v>200</x:v>
      </x:c>
      <x:c r="H6" s="36" t="str">
        <x:v>Registration succeeds and returns message + id</x:v>
      </x:c>
      <x:c r="I6" s="36" t="str">
        <x:v>Unicode text should be accepted unless restricted</x:v>
      </x:c>
      <x:c r="J6" s="36" t="str">
        <x:v>VALID</x:v>
      </x:c>
      <x:c r="K6" s="36" t="str">
        <x:v>The spec does not restrict Unicode names and the implementation stores `name` as SQLite TEXT.</x:v>
      </x:c>
      <x:c r="L6" s="36" t="str">
        <x:v>200 with documented success schema.</x:v>
      </x:c>
      <x:c r="M6" s="36" t="str">
        <x:v>Automated Newman</x:v>
      </x:c>
      <x:c r="N6" s="36" t="str">
        <x:v>PASS</x:v>
      </x:c>
      <x:c r="O6" s="36" t="str">
        <x:v>Executed successfully; corrected/characterization assertions passed.</x:v>
      </x:c>
      <x:c r="P6" s="36" t="str"/>
      <x:c r="Q6" s="36" t="str">
        <x:v>api1_registration_ai_generated.md; api1_registration_audit.md</x:v>
      </x:c>
    </x:row>
    <x:row r="7" ht="48" customHeight="1">
      <x:c r="A7" s="36" t="str">
        <x:v>REG-AI-003</x:v>
      </x:c>
      <x:c r="B7" s="36" t="str">
        <x:v>AI Generated</x:v>
      </x:c>
      <x:c r="C7" s="36" t="str">
        <x:v>Name / valid partition</x:v>
      </x:c>
      <x:c r="D7" s="36" t="str">
        <x:v>Name containing hyphen/apostrophe</x:v>
      </x:c>
      <x:c r="E7" s="36" t="str">
        <x:v>{"name":"Anne-Marie O'Neil","email":"hw06.reg003@example.com","password":"Password123!"}</x:v>
      </x:c>
      <x:c r="F7" s="36" t="str"/>
      <x:c r="G7" s="36" t="str">
        <x:v>200</x:v>
      </x:c>
      <x:c r="H7" s="36" t="str">
        <x:v>Registration succeeds</x:v>
      </x:c>
      <x:c r="I7" s="36" t="str">
        <x:v>Common valid name characters</x:v>
      </x:c>
      <x:c r="J7" s="36" t="str">
        <x:v>VALID</x:v>
      </x:c>
      <x:c r="K7" s="36" t="str">
        <x:v>The spec does not prohibit punctuation in names; the implementation passes the value as a bound SQL parameter.</x:v>
      </x:c>
      <x:c r="L7" s="36" t="str">
        <x:v>200 with documented success schema.</x:v>
      </x:c>
      <x:c r="M7" s="36" t="str">
        <x:v>Automated Newman</x:v>
      </x:c>
      <x:c r="N7" s="36" t="str">
        <x:v>PASS</x:v>
      </x:c>
      <x:c r="O7" s="36" t="str">
        <x:v>Executed successfully; corrected/characterization assertions passed.</x:v>
      </x:c>
      <x:c r="P7" s="36" t="str"/>
      <x:c r="Q7" s="36" t="str">
        <x:v>api1_registration_ai_generated.md; api1_registration_audit.md</x:v>
      </x:c>
    </x:row>
    <x:row r="8" ht="48" customHeight="1">
      <x:c r="A8" s="36" t="str">
        <x:v>REG-AI-004</x:v>
      </x:c>
      <x:c r="B8" s="36" t="str">
        <x:v>AI Generated</x:v>
      </x:c>
      <x:c r="C8" s="36" t="str">
        <x:v>Email / valid partition</x:v>
      </x:c>
      <x:c r="D8" s="36" t="str">
        <x:v>Uppercase characters in email</x:v>
      </x:c>
      <x:c r="E8" s="36" t="str">
        <x:v>{"name":"User 004","email":"HW06.REG004@EXAMPLE.COM","password":"Password123!"}</x:v>
      </x:c>
      <x:c r="F8" s="36" t="str"/>
      <x:c r="G8" s="36" t="str">
        <x:v>200</x:v>
      </x:c>
      <x:c r="H8" s="36" t="str">
        <x:v>Registration succeeds</x:v>
      </x:c>
      <x:c r="I8" s="36" t="str">
        <x:v>Email syntax valid; case handling to audit</x:v>
      </x:c>
      <x:c r="J8" s="36" t="str">
        <x:v>VALID</x:v>
      </x:c>
      <x:c r="K8" s="36" t="str">
        <x:v>Useful email-domain partition. No case-normalization or lowercase rule exists in the supplied spec/implementation.</x:v>
      </x:c>
      <x:c r="L8" s="36" t="str">
        <x:v>200 with documented success schema.</x:v>
      </x:c>
      <x:c r="M8" s="36" t="str">
        <x:v>Automated Newman</x:v>
      </x:c>
      <x:c r="N8" s="36" t="str">
        <x:v>PASS</x:v>
      </x:c>
      <x:c r="O8" s="36" t="str">
        <x:v>Executed successfully; corrected/characterization assertions passed.</x:v>
      </x:c>
      <x:c r="P8" s="36" t="str"/>
      <x:c r="Q8" s="36" t="str">
        <x:v>api1_registration_ai_generated.md; api1_registration_audit.md</x:v>
      </x:c>
    </x:row>
    <x:row r="9" ht="48" customHeight="1">
      <x:c r="A9" s="36" t="str">
        <x:v>REG-AI-005</x:v>
      </x:c>
      <x:c r="B9" s="36" t="str">
        <x:v>AI Generated</x:v>
      </x:c>
      <x:c r="C9" s="36" t="str">
        <x:v>Email / valid partition</x:v>
      </x:c>
      <x:c r="D9" s="36" t="str">
        <x:v>Email with subdomain</x:v>
      </x:c>
      <x:c r="E9" s="36" t="str">
        <x:v>{"name":"User 005","email":"user@sub.example.com","password":"Password123!"}</x:v>
      </x:c>
      <x:c r="F9" s="36" t="str"/>
      <x:c r="G9" s="36" t="str">
        <x:v>200</x:v>
      </x:c>
      <x:c r="H9" s="36" t="str">
        <x:v>Registration succeeds</x:v>
      </x:c>
      <x:c r="I9" s="36" t="str">
        <x:v>Valid email syntax</x:v>
      </x:c>
      <x:c r="J9" s="36" t="str">
        <x:v>VALID</x:v>
      </x:c>
      <x:c r="K9" s="36" t="str">
        <x:v>A subdomain email fits the documented string field and no narrower email rule is specified.</x:v>
      </x:c>
      <x:c r="L9" s="36" t="str">
        <x:v>200 with documented success schema.</x:v>
      </x:c>
      <x:c r="M9" s="36" t="str">
        <x:v>Automated Newman</x:v>
      </x:c>
      <x:c r="N9" s="36" t="str">
        <x:v>PASS</x:v>
      </x:c>
      <x:c r="O9" s="36" t="str">
        <x:v>Executed successfully; corrected/characterization assertions passed.</x:v>
      </x:c>
      <x:c r="P9" s="36" t="str"/>
      <x:c r="Q9" s="36" t="str">
        <x:v>api1_registration_ai_generated.md; api1_registration_audit.md</x:v>
      </x:c>
    </x:row>
    <x:row r="10" ht="48" customHeight="1">
      <x:c r="A10" s="36" t="str">
        <x:v>REG-AI-006</x:v>
      </x:c>
      <x:c r="B10" s="36" t="str">
        <x:v>AI Generated</x:v>
      </x:c>
      <x:c r="C10" s="36" t="str">
        <x:v>Email / valid partition</x:v>
      </x:c>
      <x:c r="D10" s="36" t="str">
        <x:v>Email with plus alias</x:v>
      </x:c>
      <x:c r="E10" s="36" t="str">
        <x:v>{"name":"User 006","email":"user+hw06@example.com","password":"Password123!"}</x:v>
      </x:c>
      <x:c r="F10" s="36" t="str"/>
      <x:c r="G10" s="36" t="str">
        <x:v>200</x:v>
      </x:c>
      <x:c r="H10" s="36" t="str">
        <x:v>Registration succeeds</x:v>
      </x:c>
      <x:c r="I10" s="36" t="str">
        <x:v>Valid email syntax</x:v>
      </x:c>
      <x:c r="J10" s="36" t="str">
        <x:v>VALID</x:v>
      </x:c>
      <x:c r="K10" s="36" t="str">
        <x:v>A plus-alias email is a legitimate partition and no restriction is specified.</x:v>
      </x:c>
      <x:c r="L10" s="36" t="str">
        <x:v>200 with documented success schema.</x:v>
      </x:c>
      <x:c r="M10" s="36" t="str">
        <x:v>Automated Newman</x:v>
      </x:c>
      <x:c r="N10" s="36" t="str">
        <x:v>PASS</x:v>
      </x:c>
      <x:c r="O10" s="36" t="str">
        <x:v>Executed successfully; corrected/characterization assertions passed.</x:v>
      </x:c>
      <x:c r="P10" s="36" t="str"/>
      <x:c r="Q10" s="36" t="str">
        <x:v>api1_registration_ai_generated.md; api1_registration_audit.md</x:v>
      </x:c>
    </x:row>
    <x:row r="11" ht="48" customHeight="1">
      <x:c r="A11" s="36" t="str">
        <x:v>REG-AI-007</x:v>
      </x:c>
      <x:c r="B11" s="36" t="str">
        <x:v>AI Generated</x:v>
      </x:c>
      <x:c r="C11" s="36" t="str">
        <x:v>Name / invalid partition</x:v>
      </x:c>
      <x:c r="D11" s="36" t="str">
        <x:v>Empty name</x:v>
      </x:c>
      <x:c r="E11" s="36" t="str">
        <x:v>{"name":"","email":"hw06.reg007@example.com","password":"Password123!"}</x:v>
      </x:c>
      <x:c r="F11" s="36" t="str"/>
      <x:c r="G11" s="36" t="str">
        <x:v>4xx</x:v>
      </x:c>
      <x:c r="H11" s="36" t="str">
        <x:v>Request rejected with validation error</x:v>
      </x:c>
      <x:c r="I11" s="36" t="str">
        <x:v>AI assumes name is required/non-empty</x:v>
      </x:c>
      <x:c r="J11" s="36" t="str">
        <x:v>INCOMPLETE</x:v>
      </x:c>
      <x:c r="K11" s="36" t="str">
        <x:v>The negative partition is useful, but AI invented a 4xx/non-empty-name requirement. The supplied API spec does not state it; code/schema contain no such validation.</x:v>
      </x:c>
      <x:c r="L11" s="36" t="str">
        <x:v>For conformance, do not assert 4xx. Current implementation accepts/stores the value and should return the normal 200 success schema; record this as behavior, not a spec bug.</x:v>
      </x:c>
      <x:c r="M11" s="36" t="str">
        <x:v>Automated Newman</x:v>
      </x:c>
      <x:c r="N11" s="36" t="str">
        <x:v>PASS</x:v>
      </x:c>
      <x:c r="O11" s="36" t="str">
        <x:v>Executed successfully; corrected/characterization assertions passed.</x:v>
      </x:c>
      <x:c r="P11" s="36" t="str"/>
      <x:c r="Q11" s="36" t="str">
        <x:v>api1_registration_ai_generated.md; api1_registration_audit.md</x:v>
      </x:c>
    </x:row>
    <x:row r="12" ht="48" customHeight="1">
      <x:c r="A12" s="36" t="str">
        <x:v>REG-AI-008</x:v>
      </x:c>
      <x:c r="B12" s="36" t="str">
        <x:v>AI Generated</x:v>
      </x:c>
      <x:c r="C12" s="36" t="str">
        <x:v>Name / invalid partition</x:v>
      </x:c>
      <x:c r="D12" s="36" t="str">
        <x:v>Whitespace-only name</x:v>
      </x:c>
      <x:c r="E12" s="36" t="str">
        <x:v>{"name":"   ","email":"hw06.reg008@example.com","password":"Password123!"}</x:v>
      </x:c>
      <x:c r="F12" s="36" t="str"/>
      <x:c r="G12" s="36" t="str">
        <x:v>4xx</x:v>
      </x:c>
      <x:c r="H12" s="36" t="str">
        <x:v>Request rejected with validation error</x:v>
      </x:c>
      <x:c r="I12" s="36" t="str">
        <x:v>AI assumes blank names invalid</x:v>
      </x:c>
      <x:c r="J12" s="36" t="str">
        <x:v>INCOMPLETE</x:v>
      </x:c>
      <x:c r="K12" s="36" t="str">
        <x:v>Same issue as REG-AI-007: blank-name rejection is not specified or implemented.</x:v>
      </x:c>
      <x:c r="L12" s="36" t="str">
        <x:v>Do not assert 4xx. Current implementation should return 200; treat as robustness/characterization.</x:v>
      </x:c>
      <x:c r="M12" s="36" t="str">
        <x:v>Automated Newman</x:v>
      </x:c>
      <x:c r="N12" s="36" t="str">
        <x:v>PASS</x:v>
      </x:c>
      <x:c r="O12" s="36" t="str">
        <x:v>Executed successfully; corrected/characterization assertions passed.</x:v>
      </x:c>
      <x:c r="P12" s="36" t="str"/>
      <x:c r="Q12" s="36" t="str">
        <x:v>api1_registration_ai_generated.md; api1_registration_audit.md</x:v>
      </x:c>
    </x:row>
    <x:row r="13" ht="48" customHeight="1">
      <x:c r="A13" s="36" t="str">
        <x:v>REG-AI-009</x:v>
      </x:c>
      <x:c r="B13" s="36" t="str">
        <x:v>AI Generated</x:v>
      </x:c>
      <x:c r="C13" s="36" t="str">
        <x:v>Name / invalid partition</x:v>
      </x:c>
      <x:c r="D13" s="36" t="str">
        <x:v>Missing name field</x:v>
      </x:c>
      <x:c r="E13" s="36" t="str">
        <x:v>{"email":"hw06.reg009@example.com","password":"Password123!"}</x:v>
      </x:c>
      <x:c r="F13" s="36" t="str"/>
      <x:c r="G13" s="36" t="str">
        <x:v>4xx</x:v>
      </x:c>
      <x:c r="H13" s="36" t="str">
        <x:v>Request rejected with validation error</x:v>
      </x:c>
      <x:c r="I13" s="36" t="str">
        <x:v>Body field shown as required by operation example; confirm in audit</x:v>
      </x:c>
      <x:c r="J13" s="36" t="str">
        <x:v>INCOMPLETE</x:v>
      </x:c>
      <x:c r="K13" s="36" t="str">
        <x:v>AI assumed `name` is formally required. The example contains `name`, but the supplied spec has no required-field declaration and the DB column is nullable.</x:v>
      </x:c>
      <x:c r="L13" s="36" t="str">
        <x:v>Do not assert a spec-defined 4xx. Current implementation has no application/schema rejection; characterize execution result and do not call it a conformance defect from this spec alone.</x:v>
      </x:c>
      <x:c r="M13" s="36" t="str">
        <x:v>Automated Newman</x:v>
      </x:c>
      <x:c r="N13" s="36" t="str">
        <x:v>PASS</x:v>
      </x:c>
      <x:c r="O13" s="36" t="str">
        <x:v>Executed successfully; corrected/characterization assertions passed.</x:v>
      </x:c>
      <x:c r="P13" s="36" t="str"/>
      <x:c r="Q13" s="36" t="str">
        <x:v>api1_registration_ai_generated.md; api1_registration_audit.md</x:v>
      </x:c>
    </x:row>
    <x:row r="14" ht="48" customHeight="1">
      <x:c r="A14" s="36" t="str">
        <x:v>REG-AI-010</x:v>
      </x:c>
      <x:c r="B14" s="36" t="str">
        <x:v>AI Generated</x:v>
      </x:c>
      <x:c r="C14" s="36" t="str">
        <x:v>Name / invalid partition</x:v>
      </x:c>
      <x:c r="D14" s="36" t="str">
        <x:v>name = null</x:v>
      </x:c>
      <x:c r="E14" s="36" t="str">
        <x:v>{"name":null,"email":"hw06.reg010@example.com","password":"Password123!"}</x:v>
      </x:c>
      <x:c r="F14" s="36" t="str"/>
      <x:c r="G14" s="36" t="str">
        <x:v>4xx</x:v>
      </x:c>
      <x:c r="H14" s="36" t="str">
        <x:v>Request rejected with validation error</x:v>
      </x:c>
      <x:c r="I14" s="36" t="str">
        <x:v>Null partition</x:v>
      </x:c>
      <x:c r="J14" s="36" t="str">
        <x:v>INCOMPLETE</x:v>
      </x:c>
      <x:c r="K14" s="36" t="str">
        <x:v>Null-name rejection is not defined. `name` is nullable in the database.</x:v>
      </x:c>
      <x:c r="L14" s="36" t="str">
        <x:v>Do not assert 4xx; current implementation permits NULL and is expected to return 200.</x:v>
      </x:c>
      <x:c r="M14" s="36" t="str">
        <x:v>Automated Newman</x:v>
      </x:c>
      <x:c r="N14" s="36" t="str">
        <x:v>PASS</x:v>
      </x:c>
      <x:c r="O14" s="36" t="str">
        <x:v>Executed successfully; corrected/characterization assertions passed.</x:v>
      </x:c>
      <x:c r="P14" s="36" t="str"/>
      <x:c r="Q14" s="36" t="str">
        <x:v>api1_registration_ai_generated.md; api1_registration_audit.md</x:v>
      </x:c>
    </x:row>
    <x:row r="15" ht="48" customHeight="1">
      <x:c r="A15" s="36" t="str">
        <x:v>REG-AI-011</x:v>
      </x:c>
      <x:c r="B15" s="36" t="str">
        <x:v>AI Generated</x:v>
      </x:c>
      <x:c r="C15" s="36" t="str">
        <x:v>Name / type partition</x:v>
      </x:c>
      <x:c r="D15" s="36" t="str">
        <x:v>Numeric name</x:v>
      </x:c>
      <x:c r="E15" s="36" t="str">
        <x:v>{"name":12345,"email":"hw06.reg011@example.com","password":"Password123!"}</x:v>
      </x:c>
      <x:c r="F15" s="36" t="str"/>
      <x:c r="G15" s="36" t="str">
        <x:v>4xx</x:v>
      </x:c>
      <x:c r="H15" s="36" t="str">
        <x:v>Request rejected because name should be string</x:v>
      </x:c>
      <x:c r="I15" s="36" t="str">
        <x:v>Type robustness</x:v>
      </x:c>
      <x:c r="J15" s="36" t="str">
        <x:v>INCOMPLETE</x:v>
      </x:c>
      <x:c r="K15" s="36" t="str">
        <x:v>The spec shows `name` as a string example but provides no schema/type-validation rule. The handler performs no type check.</x:v>
      </x:c>
      <x:c r="L15" s="36" t="str">
        <x:v>Retain as robustness test, but not as a spec-conformance 4xx assertion. Observe current behavior.</x:v>
      </x:c>
      <x:c r="M15" s="36" t="str">
        <x:v>Automated Newman</x:v>
      </x:c>
      <x:c r="N15" s="36" t="str">
        <x:v>PASS</x:v>
      </x:c>
      <x:c r="O15" s="36" t="str">
        <x:v>Executed successfully; corrected/characterization assertions passed.</x:v>
      </x:c>
      <x:c r="P15" s="36" t="str"/>
      <x:c r="Q15" s="36" t="str">
        <x:v>api1_registration_ai_generated.md; api1_registration_audit.md</x:v>
      </x:c>
    </x:row>
    <x:row r="16" ht="48" customHeight="1">
      <x:c r="A16" s="36" t="str">
        <x:v>REG-AI-012</x:v>
      </x:c>
      <x:c r="B16" s="36" t="str">
        <x:v>AI Generated</x:v>
      </x:c>
      <x:c r="C16" s="36" t="str">
        <x:v>Name / type partition</x:v>
      </x:c>
      <x:c r="D16" s="36" t="str">
        <x:v>Object as name</x:v>
      </x:c>
      <x:c r="E16" s="36" t="str">
        <x:v>{"name":{"first":"Nguyen"},"email":"hw06.reg012@example.com","password":"Password123!"}</x:v>
      </x:c>
      <x:c r="F16" s="36" t="str"/>
      <x:c r="G16" s="36" t="str">
        <x:v>4xx</x:v>
      </x:c>
      <x:c r="H16" s="36" t="str">
        <x:v>Request rejected because name should be string</x:v>
      </x:c>
      <x:c r="I16" s="36" t="str">
        <x:v>Type robustness</x:v>
      </x:c>
      <x:c r="J16" s="36" t="str">
        <x:v>INCOMPLETE</x:v>
      </x:c>
      <x:c r="K16" s="36" t="str">
        <x:v>Non-string object input is a useful robustness case, but no type-validation oracle is defined and SQLite driver binding behavior must be established by execution.</x:v>
      </x:c>
      <x:c r="L16" s="36" t="str">
        <x:v>Retain as robustness test; final executable oracle should be based on observed handling, not an invented 4xx requirement.</x:v>
      </x:c>
      <x:c r="M16" s="36" t="str">
        <x:v>Automated Newman</x:v>
      </x:c>
      <x:c r="N16" s="36" t="str">
        <x:v>PASS</x:v>
      </x:c>
      <x:c r="O16" s="36" t="str">
        <x:v>Executed successfully; corrected/characterization assertions passed.</x:v>
      </x:c>
      <x:c r="P16" s="36" t="str"/>
      <x:c r="Q16" s="36" t="str">
        <x:v>api1_registration_ai_generated.md; api1_registration_audit.md</x:v>
      </x:c>
    </x:row>
    <x:row r="17" ht="48" customHeight="1">
      <x:c r="A17" s="36" t="str">
        <x:v>REG-AI-013</x:v>
      </x:c>
      <x:c r="B17" s="36" t="str">
        <x:v>AI Generated</x:v>
      </x:c>
      <x:c r="C17" s="36" t="str">
        <x:v>Name / boundary</x:v>
      </x:c>
      <x:c r="D17" s="36" t="str">
        <x:v>Extremely long name (~1000 chars)</x:v>
      </x:c>
      <x:c r="E17" s="36" t="str">
        <x:v>{"name":"&lt;1000-character string&gt;","email":"hw06.reg013@example.com","password":"Password123!"}</x:v>
      </x:c>
      <x:c r="F17" s="36" t="str"/>
      <x:c r="G17" s="36" t="str">
        <x:v>4xx or bounded acceptance</x:v>
      </x:c>
      <x:c r="H17" s="36" t="str">
        <x:v>Server enforces a reasonable maximum or safely accepts without failure</x:v>
      </x:c>
      <x:c r="I17" s="36" t="str">
        <x:v>Maximum length not specified; must audit</x:v>
      </x:c>
      <x:c r="J17" s="36" t="str">
        <x:v>INCOMPLETE</x:v>
      </x:c>
      <x:c r="K17" s="36" t="str">
        <x:v>No maximum name length appears in the supplied spec or schema.</x:v>
      </x:c>
      <x:c r="L17" s="36" t="str">
        <x:v>Retain as boundary/robustness test. Assert only safe handling/no crash unless another requirement supplies a maximum.</x:v>
      </x:c>
      <x:c r="M17" s="36" t="str">
        <x:v>Automated Newman</x:v>
      </x:c>
      <x:c r="N17" s="36" t="str">
        <x:v>PASS</x:v>
      </x:c>
      <x:c r="O17" s="36" t="str">
        <x:v>Executed successfully; corrected/characterization assertions passed.</x:v>
      </x:c>
      <x:c r="P17" s="36" t="str"/>
      <x:c r="Q17" s="36" t="str">
        <x:v>api1_registration_ai_generated.md; api1_registration_audit.md</x:v>
      </x:c>
    </x:row>
    <x:row r="18" ht="48" customHeight="1">
      <x:c r="A18" s="36" t="str">
        <x:v>REG-AI-014</x:v>
      </x:c>
      <x:c r="B18" s="36" t="str">
        <x:v>AI Generated</x:v>
      </x:c>
      <x:c r="C18" s="36" t="str">
        <x:v>Email / invalid partition</x:v>
      </x:c>
      <x:c r="D18" s="36" t="str">
        <x:v>Empty email</x:v>
      </x:c>
      <x:c r="E18" s="36" t="str">
        <x:v>{"name":"User 014","email":"","password":"Password123!"}</x:v>
      </x:c>
      <x:c r="F18" s="36" t="str"/>
      <x:c r="G18" s="36" t="str">
        <x:v>4xx</x:v>
      </x:c>
      <x:c r="H18" s="36" t="str">
        <x:v>Request rejected with validation error</x:v>
      </x:c>
      <x:c r="I18" s="36" t="str">
        <x:v>AI assumes valid email required</x:v>
      </x:c>
      <x:c r="J18" s="36" t="str">
        <x:v>INCOMPLETE</x:v>
      </x:c>
      <x:c r="K18" s="36" t="str">
        <x:v>AI invented an empty-email rejection rule; neither spec nor implementation defines it.</x:v>
      </x:c>
      <x:c r="L18" s="36" t="str">
        <x:v>Do not assert 4xx. Current implementation should accept/store the empty string and return 200.</x:v>
      </x:c>
      <x:c r="M18" s="36" t="str">
        <x:v>Automated Newman</x:v>
      </x:c>
      <x:c r="N18" s="36" t="str">
        <x:v>PASS</x:v>
      </x:c>
      <x:c r="O18" s="36" t="str">
        <x:v>Executed successfully; corrected/characterization assertions passed.</x:v>
      </x:c>
      <x:c r="P18" s="36" t="str"/>
      <x:c r="Q18" s="36" t="str">
        <x:v>api1_registration_ai_generated.md; api1_registration_audit.md</x:v>
      </x:c>
    </x:row>
    <x:row r="19" ht="48" customHeight="1">
      <x:c r="A19" s="36" t="str">
        <x:v>REG-AI-015</x:v>
      </x:c>
      <x:c r="B19" s="36" t="str">
        <x:v>AI Generated</x:v>
      </x:c>
      <x:c r="C19" s="36" t="str">
        <x:v>Email / invalid partition</x:v>
      </x:c>
      <x:c r="D19" s="36" t="str">
        <x:v>Whitespace-only email</x:v>
      </x:c>
      <x:c r="E19" s="36" t="str">
        <x:v>{"name":"User 015","email":"   ","password":"Password123!"}</x:v>
      </x:c>
      <x:c r="F19" s="36" t="str"/>
      <x:c r="G19" s="36" t="str">
        <x:v>4xx</x:v>
      </x:c>
      <x:c r="H19" s="36" t="str">
        <x:v>Request rejected with validation error</x:v>
      </x:c>
      <x:c r="I19" s="36" t="str">
        <x:v>AI assumes blank email invalid</x:v>
      </x:c>
      <x:c r="J19" s="36" t="str">
        <x:v>INCOMPLETE</x:v>
      </x:c>
      <x:c r="K19" s="36" t="str">
        <x:v>Whitespace-email rejection/normalization is not specified or implemented.</x:v>
      </x:c>
      <x:c r="L19" s="36" t="str">
        <x:v>Do not assert 4xx. Current implementation should return 200; classify as characterization.</x:v>
      </x:c>
      <x:c r="M19" s="36" t="str">
        <x:v>Automated Newman</x:v>
      </x:c>
      <x:c r="N19" s="36" t="str">
        <x:v>PASS</x:v>
      </x:c>
      <x:c r="O19" s="36" t="str">
        <x:v>Executed successfully; corrected/characterization assertions passed.</x:v>
      </x:c>
      <x:c r="P19" s="36" t="str"/>
      <x:c r="Q19" s="36" t="str">
        <x:v>api1_registration_ai_generated.md; api1_registration_audit.md</x:v>
      </x:c>
    </x:row>
    <x:row r="20" ht="48" customHeight="1">
      <x:c r="A20" s="36" t="str">
        <x:v>REG-AI-016</x:v>
      </x:c>
      <x:c r="B20" s="36" t="str">
        <x:v>AI Generated</x:v>
      </x:c>
      <x:c r="C20" s="36" t="str">
        <x:v>Email / invalid partition</x:v>
      </x:c>
      <x:c r="D20" s="36" t="str">
        <x:v>Missing email field</x:v>
      </x:c>
      <x:c r="E20" s="36" t="str">
        <x:v>{"name":"User 016","password":"Password123!"}</x:v>
      </x:c>
      <x:c r="F20" s="36" t="str"/>
      <x:c r="G20" s="36" t="str">
        <x:v>4xx</x:v>
      </x:c>
      <x:c r="H20" s="36" t="str">
        <x:v>Request rejected with validation error</x:v>
      </x:c>
      <x:c r="I20" s="36" t="str">
        <x:v>Required-field partition</x:v>
      </x:c>
      <x:c r="J20" s="36" t="str">
        <x:v>INCOMPLETE</x:v>
      </x:c>
      <x:c r="K20" s="36" t="str">
        <x:v>AI assumed email is formally required, but the supplied spec has no required-field declaration and DB column is nullable.</x:v>
      </x:c>
      <x:c r="L20" s="36" t="str">
        <x:v>Do not claim a spec defect solely from this test. Characterize current behavior.</x:v>
      </x:c>
      <x:c r="M20" s="36" t="str">
        <x:v>Automated Newman</x:v>
      </x:c>
      <x:c r="N20" s="36" t="str">
        <x:v>PASS</x:v>
      </x:c>
      <x:c r="O20" s="36" t="str">
        <x:v>Executed successfully; corrected/characterization assertions passed.</x:v>
      </x:c>
      <x:c r="P20" s="36" t="str"/>
      <x:c r="Q20" s="36" t="str">
        <x:v>api1_registration_ai_generated.md; api1_registration_audit.md</x:v>
      </x:c>
    </x:row>
    <x:row r="21" ht="48" customHeight="1">
      <x:c r="A21" s="36" t="str">
        <x:v>REG-AI-017</x:v>
      </x:c>
      <x:c r="B21" s="36" t="str">
        <x:v>AI Generated</x:v>
      </x:c>
      <x:c r="C21" s="36" t="str">
        <x:v>Email / invalid partition</x:v>
      </x:c>
      <x:c r="D21" s="36" t="str">
        <x:v>email = null</x:v>
      </x:c>
      <x:c r="E21" s="36" t="str">
        <x:v>{"name":"User 017","email":null,"password":"Password123!"}</x:v>
      </x:c>
      <x:c r="F21" s="36" t="str"/>
      <x:c r="G21" s="36" t="str">
        <x:v>4xx</x:v>
      </x:c>
      <x:c r="H21" s="36" t="str">
        <x:v>Request rejected with validation error</x:v>
      </x:c>
      <x:c r="I21" s="36" t="str">
        <x:v>Null partition</x:v>
      </x:c>
      <x:c r="J21" s="36" t="str">
        <x:v>INCOMPLETE</x:v>
      </x:c>
      <x:c r="K21" s="36" t="str">
        <x:v>Null-email rejection is not specified; DB column is nullable.</x:v>
      </x:c>
      <x:c r="L21" s="36" t="str">
        <x:v>Do not assert 4xx; current implementation permits NULL and is expected to return 200.</x:v>
      </x:c>
      <x:c r="M21" s="36" t="str">
        <x:v>Automated Newman</x:v>
      </x:c>
      <x:c r="N21" s="36" t="str">
        <x:v>PASS</x:v>
      </x:c>
      <x:c r="O21" s="36" t="str">
        <x:v>Executed successfully; corrected/characterization assertions passed.</x:v>
      </x:c>
      <x:c r="P21" s="36" t="str"/>
      <x:c r="Q21" s="36" t="str">
        <x:v>api1_registration_ai_generated.md; api1_registration_audit.md</x:v>
      </x:c>
    </x:row>
    <x:row r="22" ht="48" customHeight="1">
      <x:c r="A22" s="36" t="str">
        <x:v>REG-AI-018</x:v>
      </x:c>
      <x:c r="B22" s="36" t="str">
        <x:v>AI Generated</x:v>
      </x:c>
      <x:c r="C22" s="36" t="str">
        <x:v>Email / syntax</x:v>
      </x:c>
      <x:c r="D22" s="36" t="str">
        <x:v>Email without @</x:v>
      </x:c>
      <x:c r="E22" s="36" t="str">
        <x:v>{"name":"User 018","email":"userexample.com","password":"Password123!"}</x:v>
      </x:c>
      <x:c r="F22" s="36" t="str"/>
      <x:c r="G22" s="36" t="str">
        <x:v>4xx</x:v>
      </x:c>
      <x:c r="H22" s="36" t="str">
        <x:v>Request rejected as invalid email</x:v>
      </x:c>
      <x:c r="I22" s="36" t="str">
        <x:v>Email syntax partition</x:v>
      </x:c>
      <x:c r="J22" s="36" t="str">
        <x:v>INCOMPLETE</x:v>
      </x:c>
      <x:c r="K22" s="36" t="str">
        <x:v>The test partition is relevant, but the supplied API spec does not define email-format validation and the handler performs none.</x:v>
      </x:c>
      <x:c r="L22" s="36" t="str">
        <x:v>Retain as negative/robustness case; current implementation is expected to accept it. Do not label failure-to-reject as a spec bug from this document alone.</x:v>
      </x:c>
      <x:c r="M22" s="36" t="str">
        <x:v>Automated Newman</x:v>
      </x:c>
      <x:c r="N22" s="36" t="str">
        <x:v>PASS</x:v>
      </x:c>
      <x:c r="O22" s="36" t="str">
        <x:v>Executed successfully; corrected/characterization assertions passed.</x:v>
      </x:c>
      <x:c r="P22" s="36" t="str"/>
      <x:c r="Q22" s="36" t="str">
        <x:v>api1_registration_ai_generated.md; api1_registration_audit.md</x:v>
      </x:c>
    </x:row>
    <x:row r="23" ht="48" customHeight="1">
      <x:c r="A23" s="36" t="str">
        <x:v>REG-AI-019</x:v>
      </x:c>
      <x:c r="B23" s="36" t="str">
        <x:v>AI Generated</x:v>
      </x:c>
      <x:c r="C23" s="36" t="str">
        <x:v>Email / syntax</x:v>
      </x:c>
      <x:c r="D23" s="36" t="str">
        <x:v>Email missing local part</x:v>
      </x:c>
      <x:c r="E23" s="36" t="str">
        <x:v>{"name":"User 019","email":"@example.com","password":"Password123!"}</x:v>
      </x:c>
      <x:c r="F23" s="36" t="str"/>
      <x:c r="G23" s="36" t="str">
        <x:v>4xx</x:v>
      </x:c>
      <x:c r="H23" s="36" t="str">
        <x:v>Request rejected as invalid email</x:v>
      </x:c>
      <x:c r="I23" s="36" t="str">
        <x:v>Email syntax partition</x:v>
      </x:c>
      <x:c r="J23" s="36" t="str">
        <x:v>INCOMPLETE</x:v>
      </x:c>
      <x:c r="K23" s="36" t="str">
        <x:v>Same as REG-AI-018: no email syntax rule is supplied.</x:v>
      </x:c>
      <x:c r="L23" s="36" t="str">
        <x:v>Retain for robustness; do not assert spec-defined 4xx.</x:v>
      </x:c>
      <x:c r="M23" s="36" t="str">
        <x:v>Automated Newman</x:v>
      </x:c>
      <x:c r="N23" s="36" t="str">
        <x:v>PASS</x:v>
      </x:c>
      <x:c r="O23" s="36" t="str">
        <x:v>Executed successfully; corrected/characterization assertions passed.</x:v>
      </x:c>
      <x:c r="P23" s="36" t="str"/>
      <x:c r="Q23" s="36" t="str">
        <x:v>api1_registration_ai_generated.md; api1_registration_audit.md</x:v>
      </x:c>
    </x:row>
    <x:row r="24" ht="48" customHeight="1">
      <x:c r="A24" s="36" t="str">
        <x:v>REG-AI-020</x:v>
      </x:c>
      <x:c r="B24" s="36" t="str">
        <x:v>AI Generated</x:v>
      </x:c>
      <x:c r="C24" s="36" t="str">
        <x:v>Email / syntax</x:v>
      </x:c>
      <x:c r="D24" s="36" t="str">
        <x:v>Email missing domain</x:v>
      </x:c>
      <x:c r="E24" s="36" t="str">
        <x:v>{"name":"User 020","email":"user@","password":"Password123!"}</x:v>
      </x:c>
      <x:c r="F24" s="36" t="str"/>
      <x:c r="G24" s="36" t="str">
        <x:v>4xx</x:v>
      </x:c>
      <x:c r="H24" s="36" t="str">
        <x:v>Request rejected as invalid email</x:v>
      </x:c>
      <x:c r="I24" s="36" t="str">
        <x:v>Email syntax partition</x:v>
      </x:c>
      <x:c r="J24" s="36" t="str">
        <x:v>INCOMPLETE</x:v>
      </x:c>
      <x:c r="K24" s="36" t="str">
        <x:v>Same as REG-AI-018: no email syntax rule is supplied.</x:v>
      </x:c>
      <x:c r="L24" s="36" t="str">
        <x:v>Retain for robustness; do not assert spec-defined 4xx.</x:v>
      </x:c>
      <x:c r="M24" s="36" t="str">
        <x:v>Automated Newman</x:v>
      </x:c>
      <x:c r="N24" s="36" t="str">
        <x:v>PASS</x:v>
      </x:c>
      <x:c r="O24" s="36" t="str">
        <x:v>Executed successfully; corrected/characterization assertions passed.</x:v>
      </x:c>
      <x:c r="P24" s="36" t="str"/>
      <x:c r="Q24" s="36" t="str">
        <x:v>api1_registration_ai_generated.md; api1_registration_audit.md</x:v>
      </x:c>
    </x:row>
    <x:row r="25" ht="48" customHeight="1">
      <x:c r="A25" s="36" t="str">
        <x:v>REG-AI-021</x:v>
      </x:c>
      <x:c r="B25" s="36" t="str">
        <x:v>AI Generated</x:v>
      </x:c>
      <x:c r="C25" s="36" t="str">
        <x:v>Email / syntax</x:v>
      </x:c>
      <x:c r="D25" s="36" t="str">
        <x:v>Email containing multiple @ characters</x:v>
      </x:c>
      <x:c r="E25" s="36" t="str">
        <x:v>{"name":"User 021","email":"a@b@example.com","password":"Password123!"}</x:v>
      </x:c>
      <x:c r="F25" s="36" t="str"/>
      <x:c r="G25" s="36" t="str">
        <x:v>4xx</x:v>
      </x:c>
      <x:c r="H25" s="36" t="str">
        <x:v>Request rejected as invalid email</x:v>
      </x:c>
      <x:c r="I25" s="36" t="str">
        <x:v>Email syntax partition</x:v>
      </x:c>
      <x:c r="J25" s="36" t="str">
        <x:v>INCOMPLETE</x:v>
      </x:c>
      <x:c r="K25" s="36" t="str">
        <x:v>Same as REG-AI-018: no email syntax rule is supplied.</x:v>
      </x:c>
      <x:c r="L25" s="36" t="str">
        <x:v>Retain for robustness; do not assert spec-defined 4xx.</x:v>
      </x:c>
      <x:c r="M25" s="36" t="str">
        <x:v>Automated Newman</x:v>
      </x:c>
      <x:c r="N25" s="36" t="str">
        <x:v>PASS</x:v>
      </x:c>
      <x:c r="O25" s="36" t="str">
        <x:v>Executed successfully; corrected/characterization assertions passed.</x:v>
      </x:c>
      <x:c r="P25" s="36" t="str"/>
      <x:c r="Q25" s="36" t="str">
        <x:v>api1_registration_ai_generated.md; api1_registration_audit.md</x:v>
      </x:c>
    </x:row>
    <x:row r="26" ht="48" customHeight="1">
      <x:c r="A26" s="36" t="str">
        <x:v>REG-AI-022</x:v>
      </x:c>
      <x:c r="B26" s="36" t="str">
        <x:v>AI Generated</x:v>
      </x:c>
      <x:c r="C26" s="36" t="str">
        <x:v>Email / syntax</x:v>
      </x:c>
      <x:c r="D26" s="36" t="str">
        <x:v>Email with consecutive dots</x:v>
      </x:c>
      <x:c r="E26" s="36" t="str">
        <x:v>{"name":"User 022","email":"user..name@example.com","password":"Password123!"}</x:v>
      </x:c>
      <x:c r="F26" s="36" t="str"/>
      <x:c r="G26" s="36" t="str">
        <x:v>4xx</x:v>
      </x:c>
      <x:c r="H26" s="36" t="str">
        <x:v>Request rejected as invalid email</x:v>
      </x:c>
      <x:c r="I26" s="36" t="str">
        <x:v>Email syntax partition</x:v>
      </x:c>
      <x:c r="J26" s="36" t="str">
        <x:v>INCOMPLETE</x:v>
      </x:c>
      <x:c r="K26" s="36" t="str">
        <x:v>Same as REG-AI-018: no email syntax rule is supplied.</x:v>
      </x:c>
      <x:c r="L26" s="36" t="str">
        <x:v>Retain for robustness; do not assert spec-defined 4xx.</x:v>
      </x:c>
      <x:c r="M26" s="36" t="str">
        <x:v>Automated Newman</x:v>
      </x:c>
      <x:c r="N26" s="36" t="str">
        <x:v>PASS</x:v>
      </x:c>
      <x:c r="O26" s="36" t="str">
        <x:v>Executed successfully; corrected/characterization assertions passed.</x:v>
      </x:c>
      <x:c r="P26" s="36" t="str"/>
      <x:c r="Q26" s="36" t="str">
        <x:v>api1_registration_ai_generated.md; api1_registration_audit.md</x:v>
      </x:c>
    </x:row>
    <x:row r="27" ht="48" customHeight="1">
      <x:c r="A27" s="36" t="str">
        <x:v>REG-AI-023</x:v>
      </x:c>
      <x:c r="B27" s="36" t="str">
        <x:v>AI Generated</x:v>
      </x:c>
      <x:c r="C27" s="36" t="str">
        <x:v>Email / normalization</x:v>
      </x:c>
      <x:c r="D27" s="36" t="str">
        <x:v>Valid email surrounded by spaces</x:v>
      </x:c>
      <x:c r="E27" s="36" t="str">
        <x:v>{"name":"User 023","email":"  hw06.reg023@example.com  ","password":"Password123!"}</x:v>
      </x:c>
      <x:c r="F27" s="36" t="str"/>
      <x:c r="G27" s="36" t="str">
        <x:v>200 or 4xx</x:v>
      </x:c>
      <x:c r="H27" s="36" t="str">
        <x:v>Server should either trim then accept or reject consistently; must not silently create an unusable account</x:v>
      </x:c>
      <x:c r="I27" s="36" t="str">
        <x:v>Normalization behavior not specified</x:v>
      </x:c>
      <x:c r="J27" s="36" t="str">
        <x:v>INCOMPLETE</x:v>
      </x:c>
      <x:c r="K27" s="36" t="str">
        <x:v>AI gave two possible outcomes instead of one oracle. Trimming/normalization is not specified or implemented.</x:v>
      </x:c>
      <x:c r="L27" s="36" t="str">
        <x:v>Current implementation stores the literal value and should return 200. Do not claim trimming is required.</x:v>
      </x:c>
      <x:c r="M27" s="36" t="str">
        <x:v>Automated Newman</x:v>
      </x:c>
      <x:c r="N27" s="36" t="str">
        <x:v>PASS</x:v>
      </x:c>
      <x:c r="O27" s="36" t="str">
        <x:v>Executed successfully; corrected/characterization assertions passed.</x:v>
      </x:c>
      <x:c r="P27" s="36" t="str"/>
      <x:c r="Q27" s="36" t="str">
        <x:v>api1_registration_ai_generated.md; api1_registration_audit.md</x:v>
      </x:c>
    </x:row>
    <x:row r="28" ht="48" customHeight="1">
      <x:c r="A28" s="36" t="str">
        <x:v>REG-AI-024</x:v>
      </x:c>
      <x:c r="B28" s="36" t="str">
        <x:v>AI Generated</x:v>
      </x:c>
      <x:c r="C28" s="36" t="str">
        <x:v>Password / invalid partition</x:v>
      </x:c>
      <x:c r="D28" s="36" t="str">
        <x:v>Empty password</x:v>
      </x:c>
      <x:c r="E28" s="36" t="str">
        <x:v>{"name":"User 024","email":"hw06.reg024@example.com","password":""}</x:v>
      </x:c>
      <x:c r="F28" s="36" t="str"/>
      <x:c r="G28" s="36" t="str">
        <x:v>4xx</x:v>
      </x:c>
      <x:c r="H28" s="36" t="str">
        <x:v>Request rejected with validation error</x:v>
      </x:c>
      <x:c r="I28" s="36" t="str">
        <x:v>AI assumes password required/non-empty</x:v>
      </x:c>
      <x:c r="J28" s="36" t="str">
        <x:v>INCOMPLETE</x:v>
      </x:c>
      <x:c r="K28" s="36" t="str">
        <x:v>Empty-password rejection is not specified; the password column is nullable and no validation is present.</x:v>
      </x:c>
      <x:c r="L28" s="36" t="str">
        <x:v>Do not assert 4xx. Current implementation should return 200.</x:v>
      </x:c>
      <x:c r="M28" s="36" t="str">
        <x:v>Automated Newman</x:v>
      </x:c>
      <x:c r="N28" s="36" t="str">
        <x:v>PASS</x:v>
      </x:c>
      <x:c r="O28" s="36" t="str">
        <x:v>Executed successfully; corrected/characterization assertions passed.</x:v>
      </x:c>
      <x:c r="P28" s="36" t="str"/>
      <x:c r="Q28" s="36" t="str">
        <x:v>api1_registration_ai_generated.md; api1_registration_audit.md</x:v>
      </x:c>
    </x:row>
    <x:row r="29" ht="48" customHeight="1">
      <x:c r="A29" s="36" t="str">
        <x:v>REG-AI-025</x:v>
      </x:c>
      <x:c r="B29" s="36" t="str">
        <x:v>AI Generated</x:v>
      </x:c>
      <x:c r="C29" s="36" t="str">
        <x:v>Password / invalid partition</x:v>
      </x:c>
      <x:c r="D29" s="36" t="str">
        <x:v>Whitespace-only password</x:v>
      </x:c>
      <x:c r="E29" s="36" t="str">
        <x:v>{"name":"User 025","email":"hw06.reg025@example.com","password":"   "}</x:v>
      </x:c>
      <x:c r="F29" s="36" t="str"/>
      <x:c r="G29" s="36" t="str">
        <x:v>4xx</x:v>
      </x:c>
      <x:c r="H29" s="36" t="str">
        <x:v>Request rejected with validation error</x:v>
      </x:c>
      <x:c r="I29" s="36" t="str">
        <x:v>AI assumes blank password invalid</x:v>
      </x:c>
      <x:c r="J29" s="36" t="str">
        <x:v>INCOMPLETE</x:v>
      </x:c>
      <x:c r="K29" s="36" t="str">
        <x:v>Whitespace-password rejection is not specified or implemented.</x:v>
      </x:c>
      <x:c r="L29" s="36" t="str">
        <x:v>Do not assert 4xx. Current implementation should return 200.</x:v>
      </x:c>
      <x:c r="M29" s="36" t="str">
        <x:v>Automated Newman</x:v>
      </x:c>
      <x:c r="N29" s="36" t="str">
        <x:v>PASS</x:v>
      </x:c>
      <x:c r="O29" s="36" t="str">
        <x:v>Executed successfully; corrected/characterization assertions passed.</x:v>
      </x:c>
      <x:c r="P29" s="36" t="str"/>
      <x:c r="Q29" s="36" t="str">
        <x:v>api1_registration_ai_generated.md; api1_registration_audit.md</x:v>
      </x:c>
    </x:row>
    <x:row r="30" ht="48" customHeight="1">
      <x:c r="A30" s="36" t="str">
        <x:v>REG-AI-026</x:v>
      </x:c>
      <x:c r="B30" s="36" t="str">
        <x:v>AI Generated</x:v>
      </x:c>
      <x:c r="C30" s="36" t="str">
        <x:v>Password / invalid partition</x:v>
      </x:c>
      <x:c r="D30" s="36" t="str">
        <x:v>Missing password field</x:v>
      </x:c>
      <x:c r="E30" s="36" t="str">
        <x:v>{"name":"User 026","email":"hw06.reg026@example.com"}</x:v>
      </x:c>
      <x:c r="F30" s="36" t="str"/>
      <x:c r="G30" s="36" t="str">
        <x:v>4xx</x:v>
      </x:c>
      <x:c r="H30" s="36" t="str">
        <x:v>Request rejected with validation error</x:v>
      </x:c>
      <x:c r="I30" s="36" t="str">
        <x:v>Required-field partition</x:v>
      </x:c>
      <x:c r="J30" s="36" t="str">
        <x:v>INCOMPLETE</x:v>
      </x:c>
      <x:c r="K30" s="36" t="str">
        <x:v>Password is shown in the request example, but the supplied spec has no explicit required-field rule; DB column is nullable.</x:v>
      </x:c>
      <x:c r="L30" s="36" t="str">
        <x:v>Do not assert a spec-defined 4xx. Characterize current behavior.</x:v>
      </x:c>
      <x:c r="M30" s="36" t="str">
        <x:v>Automated Newman</x:v>
      </x:c>
      <x:c r="N30" s="36" t="str">
        <x:v>PASS</x:v>
      </x:c>
      <x:c r="O30" s="36" t="str">
        <x:v>Executed successfully; corrected/characterization assertions passed.</x:v>
      </x:c>
      <x:c r="P30" s="36" t="str"/>
      <x:c r="Q30" s="36" t="str">
        <x:v>api1_registration_ai_generated.md; api1_registration_audit.md</x:v>
      </x:c>
    </x:row>
    <x:row r="31" ht="48" customHeight="1">
      <x:c r="A31" s="36" t="str">
        <x:v>REG-AI-027</x:v>
      </x:c>
      <x:c r="B31" s="36" t="str">
        <x:v>AI Generated</x:v>
      </x:c>
      <x:c r="C31" s="36" t="str">
        <x:v>Password / invalid partition</x:v>
      </x:c>
      <x:c r="D31" s="36" t="str">
        <x:v>password = null</x:v>
      </x:c>
      <x:c r="E31" s="36" t="str">
        <x:v>{"name":"User 027","email":"hw06.reg027@example.com","password":null}</x:v>
      </x:c>
      <x:c r="F31" s="36" t="str"/>
      <x:c r="G31" s="36" t="str">
        <x:v>4xx</x:v>
      </x:c>
      <x:c r="H31" s="36" t="str">
        <x:v>Request rejected with validation error</x:v>
      </x:c>
      <x:c r="I31" s="36" t="str">
        <x:v>Null partition</x:v>
      </x:c>
      <x:c r="J31" s="36" t="str">
        <x:v>INCOMPLETE</x:v>
      </x:c>
      <x:c r="K31" s="36" t="str">
        <x:v>Null-password rejection is not specified; DB column is nullable.</x:v>
      </x:c>
      <x:c r="L31" s="36" t="str">
        <x:v>Do not assert 4xx; current implementation permits NULL and is expected to return 200.</x:v>
      </x:c>
      <x:c r="M31" s="36" t="str">
        <x:v>Automated Newman</x:v>
      </x:c>
      <x:c r="N31" s="36" t="str">
        <x:v>PASS</x:v>
      </x:c>
      <x:c r="O31" s="36" t="str">
        <x:v>Executed successfully; corrected/characterization assertions passed.</x:v>
      </x:c>
      <x:c r="P31" s="36" t="str"/>
      <x:c r="Q31" s="36" t="str">
        <x:v>api1_registration_ai_generated.md; api1_registration_audit.md</x:v>
      </x:c>
    </x:row>
    <x:row r="32" ht="48" customHeight="1">
      <x:c r="A32" s="36" t="str">
        <x:v>REG-AI-028</x:v>
      </x:c>
      <x:c r="B32" s="36" t="str">
        <x:v>AI Generated</x:v>
      </x:c>
      <x:c r="C32" s="36" t="str">
        <x:v>Password / boundary</x:v>
      </x:c>
      <x:c r="D32" s="36" t="str">
        <x:v>One-character password</x:v>
      </x:c>
      <x:c r="E32" s="36" t="str">
        <x:v>{"name":"User 028","email":"hw06.reg028@example.com","password":"A"}</x:v>
      </x:c>
      <x:c r="F32" s="36" t="str"/>
      <x:c r="G32" s="36" t="str">
        <x:v>4xx</x:v>
      </x:c>
      <x:c r="H32" s="36" t="str">
        <x:v>Request rejected if a minimum password length is required</x:v>
      </x:c>
      <x:c r="I32" s="36" t="str">
        <x:v>Password complexity not specified; must audit</x:v>
      </x:c>
      <x:c r="J32" s="36" t="str">
        <x:v>INVALID</x:v>
      </x:c>
      <x:c r="K32" s="36" t="str">
        <x:v>AI invented a minimum password length requirement that is absent from the supplied specification and implementation.</x:v>
      </x:c>
      <x:c r="L32" s="36" t="str">
        <x:v>Reframe as a robustness/characterization test. Current implementation is expected to accept a one-character password and return 200; this is not a spec defect without another requirement.</x:v>
      </x:c>
      <x:c r="M32" s="36" t="str">
        <x:v>Automated Newman</x:v>
      </x:c>
      <x:c r="N32" s="36" t="str">
        <x:v>PASS</x:v>
      </x:c>
      <x:c r="O32" s="36" t="str">
        <x:v>Executed successfully; corrected/characterization assertions passed.</x:v>
      </x:c>
      <x:c r="P32" s="36" t="str"/>
      <x:c r="Q32" s="36" t="str">
        <x:v>api1_registration_ai_generated.md; api1_registration_audit.md</x:v>
      </x:c>
    </x:row>
    <x:row r="33" ht="48" customHeight="1">
      <x:c r="A33" s="36" t="str">
        <x:v>REG-AI-029</x:v>
      </x:c>
      <x:c r="B33" s="36" t="str">
        <x:v>AI Generated</x:v>
      </x:c>
      <x:c r="C33" s="36" t="str">
        <x:v>Password / complexity</x:v>
      </x:c>
      <x:c r="D33" s="36" t="str">
        <x:v>Letters-only password</x:v>
      </x:c>
      <x:c r="E33" s="36" t="str">
        <x:v>{"name":"User 029","email":"hw06.reg029@example.com","password":"abcdefgh"}</x:v>
      </x:c>
      <x:c r="F33" s="36" t="str"/>
      <x:c r="G33" s="36" t="str">
        <x:v>4xx</x:v>
      </x:c>
      <x:c r="H33" s="36" t="str">
        <x:v>Request rejected if complexity requires multiple character classes</x:v>
      </x:c>
      <x:c r="I33" s="36" t="str">
        <x:v>Complexity not specified; must audit</x:v>
      </x:c>
      <x:c r="J33" s="36" t="str">
        <x:v>INVALID</x:v>
      </x:c>
      <x:c r="K33" s="36" t="str">
        <x:v>AI invented a password-complexity rule requiring multiple character classes.</x:v>
      </x:c>
      <x:c r="L33" s="36" t="str">
        <x:v>Reframe as characterization. Current implementation is expected to accept letters-only password and return 200.</x:v>
      </x:c>
      <x:c r="M33" s="36" t="str">
        <x:v>Automated Newman</x:v>
      </x:c>
      <x:c r="N33" s="36" t="str">
        <x:v>PASS</x:v>
      </x:c>
      <x:c r="O33" s="36" t="str">
        <x:v>Executed successfully; corrected/characterization assertions passed.</x:v>
      </x:c>
      <x:c r="P33" s="36" t="str"/>
      <x:c r="Q33" s="36" t="str">
        <x:v>api1_registration_ai_generated.md; api1_registration_audit.md</x:v>
      </x:c>
    </x:row>
    <x:row r="34" ht="48" customHeight="1">
      <x:c r="A34" s="36" t="str">
        <x:v>REG-AI-030</x:v>
      </x:c>
      <x:c r="B34" s="36" t="str">
        <x:v>AI Generated</x:v>
      </x:c>
      <x:c r="C34" s="36" t="str">
        <x:v>Password / complexity</x:v>
      </x:c>
      <x:c r="D34" s="36" t="str">
        <x:v>Digits-only password</x:v>
      </x:c>
      <x:c r="E34" s="36" t="str">
        <x:v>{"name":"User 030","email":"hw06.reg030@example.com","password":"12345678"}</x:v>
      </x:c>
      <x:c r="F34" s="36" t="str"/>
      <x:c r="G34" s="36" t="str">
        <x:v>4xx</x:v>
      </x:c>
      <x:c r="H34" s="36" t="str">
        <x:v>Request rejected if complexity requires multiple character classes</x:v>
      </x:c>
      <x:c r="I34" s="36" t="str">
        <x:v>Complexity not specified; must audit</x:v>
      </x:c>
      <x:c r="J34" s="36" t="str">
        <x:v>INVALID</x:v>
      </x:c>
      <x:c r="K34" s="36" t="str">
        <x:v>AI invented a password-complexity rule requiring multiple character classes.</x:v>
      </x:c>
      <x:c r="L34" s="36" t="str">
        <x:v>Reframe as characterization. Current implementation is expected to accept digits-only password and return 200.</x:v>
      </x:c>
      <x:c r="M34" s="36" t="str">
        <x:v>Automated Newman</x:v>
      </x:c>
      <x:c r="N34" s="36" t="str">
        <x:v>PASS</x:v>
      </x:c>
      <x:c r="O34" s="36" t="str">
        <x:v>Executed successfully; corrected/characterization assertions passed.</x:v>
      </x:c>
      <x:c r="P34" s="36" t="str"/>
      <x:c r="Q34" s="36" t="str">
        <x:v>api1_registration_ai_generated.md; api1_registration_audit.md</x:v>
      </x:c>
    </x:row>
    <x:row r="35" ht="48" customHeight="1">
      <x:c r="A35" s="36" t="str">
        <x:v>REG-AI-031</x:v>
      </x:c>
      <x:c r="B35" s="36" t="str">
        <x:v>AI Generated</x:v>
      </x:c>
      <x:c r="C35" s="36" t="str">
        <x:v>Password / complexity</x:v>
      </x:c>
      <x:c r="D35" s="36" t="str">
        <x:v>Special-characters-only password</x:v>
      </x:c>
      <x:c r="E35" s="36" t="str">
        <x:v>{"name":"User 031","email":"hw06.reg031@example.com","password":"!@#$%^&amp;*"}</x:v>
      </x:c>
      <x:c r="F35" s="36" t="str"/>
      <x:c r="G35" s="36" t="str">
        <x:v>4xx</x:v>
      </x:c>
      <x:c r="H35" s="36" t="str">
        <x:v>Request rejected if complexity requires multiple character classes</x:v>
      </x:c>
      <x:c r="I35" s="36" t="str">
        <x:v>Complexity not specified; must audit</x:v>
      </x:c>
      <x:c r="J35" s="36" t="str">
        <x:v>INVALID</x:v>
      </x:c>
      <x:c r="K35" s="36" t="str">
        <x:v>AI invented a password-complexity rule requiring multiple character classes.</x:v>
      </x:c>
      <x:c r="L35" s="36" t="str">
        <x:v>Reframe as characterization. Current implementation is expected to accept special-characters-only password and return 200.</x:v>
      </x:c>
      <x:c r="M35" s="36" t="str">
        <x:v>Automated Newman</x:v>
      </x:c>
      <x:c r="N35" s="36" t="str">
        <x:v>PASS</x:v>
      </x:c>
      <x:c r="O35" s="36" t="str">
        <x:v>Executed successfully; corrected/characterization assertions passed.</x:v>
      </x:c>
      <x:c r="P35" s="36" t="str"/>
      <x:c r="Q35" s="36" t="str">
        <x:v>api1_registration_ai_generated.md; api1_registration_audit.md</x:v>
      </x:c>
    </x:row>
    <x:row r="36" ht="48" customHeight="1">
      <x:c r="A36" s="36" t="str">
        <x:v>REG-AI-032</x:v>
      </x:c>
      <x:c r="B36" s="36" t="str">
        <x:v>AI Generated</x:v>
      </x:c>
      <x:c r="C36" s="36" t="str">
        <x:v>Password / valid partition</x:v>
      </x:c>
      <x:c r="D36" s="36" t="str">
        <x:v>Unicode password</x:v>
      </x:c>
      <x:c r="E36" s="36" t="str">
        <x:v>{"name":"User 032","email":"hw06.reg032@example.com","password":"MậtKhẩu123!"}</x:v>
      </x:c>
      <x:c r="F36" s="36" t="str"/>
      <x:c r="G36" s="36" t="str">
        <x:v>200 or 4xx</x:v>
      </x:c>
      <x:c r="H36" s="36" t="str">
        <x:v>Behavior should be deterministic and documented</x:v>
      </x:c>
      <x:c r="I36" s="36" t="str">
        <x:v>Character-set restriction not specified</x:v>
      </x:c>
      <x:c r="J36" s="36" t="str">
        <x:v>VALID</x:v>
      </x:c>
      <x:c r="K36" s="36" t="str">
        <x:v>Unicode password is a legitimate text-domain partition; no character-set restriction is specified.</x:v>
      </x:c>
      <x:c r="L36" s="36" t="str">
        <x:v>200 with documented success schema.</x:v>
      </x:c>
      <x:c r="M36" s="36" t="str">
        <x:v>Automated Newman</x:v>
      </x:c>
      <x:c r="N36" s="36" t="str">
        <x:v>PASS</x:v>
      </x:c>
      <x:c r="O36" s="36" t="str">
        <x:v>Executed successfully; corrected/characterization assertions passed.</x:v>
      </x:c>
      <x:c r="P36" s="36" t="str"/>
      <x:c r="Q36" s="36" t="str">
        <x:v>api1_registration_ai_generated.md; api1_registration_audit.md</x:v>
      </x:c>
    </x:row>
    <x:row r="37" ht="48" customHeight="1">
      <x:c r="A37" s="36" t="str">
        <x:v>REG-AI-033</x:v>
      </x:c>
      <x:c r="B37" s="36" t="str">
        <x:v>AI Generated</x:v>
      </x:c>
      <x:c r="C37" s="36" t="str">
        <x:v>Password / boundary</x:v>
      </x:c>
      <x:c r="D37" s="36" t="str">
        <x:v>Extremely long password (~5000 chars)</x:v>
      </x:c>
      <x:c r="E37" s="36" t="str">
        <x:v>{"name":"User 033","email":"hw06.reg033@example.com","password":"&lt;5000-character string&gt;"}</x:v>
      </x:c>
      <x:c r="F37" s="36" t="str"/>
      <x:c r="G37" s="36" t="str">
        <x:v>4xx or bounded acceptance</x:v>
      </x:c>
      <x:c r="H37" s="36" t="str">
        <x:v>Server handles oversized input safely without crash</x:v>
      </x:c>
      <x:c r="I37" s="36" t="str">
        <x:v>Maximum length not specified; robustness case</x:v>
      </x:c>
      <x:c r="J37" s="36" t="str">
        <x:v>INCOMPLETE</x:v>
      </x:c>
      <x:c r="K37" s="36" t="str">
        <x:v>No maximum password length is specified; AI supplied a non-deterministic oracle.</x:v>
      </x:c>
      <x:c r="L37" s="36" t="str">
        <x:v>Retain as robustness/boundary test and assert safe handling/no crash. Do not invent a maximum.</x:v>
      </x:c>
      <x:c r="M37" s="36" t="str">
        <x:v>Automated Newman</x:v>
      </x:c>
      <x:c r="N37" s="36" t="str">
        <x:v>PASS</x:v>
      </x:c>
      <x:c r="O37" s="36" t="str">
        <x:v>Executed successfully; corrected/characterization assertions passed.</x:v>
      </x:c>
      <x:c r="P37" s="36" t="str"/>
      <x:c r="Q37" s="36" t="str">
        <x:v>api1_registration_ai_generated.md; api1_registration_audit.md</x:v>
      </x:c>
    </x:row>
    <x:row r="38" ht="48" customHeight="1">
      <x:c r="A38" s="36" t="str">
        <x:v>REG-AI-034</x:v>
      </x:c>
      <x:c r="B38" s="36" t="str">
        <x:v>AI Generated</x:v>
      </x:c>
      <x:c r="C38" s="36" t="str">
        <x:v>Body / required fields</x:v>
      </x:c>
      <x:c r="D38" s="36" t="str">
        <x:v>Empty JSON object</x:v>
      </x:c>
      <x:c r="E38" s="36" t="str">
        <x:v>{}</x:v>
      </x:c>
      <x:c r="F38" s="36" t="str"/>
      <x:c r="G38" s="36" t="str">
        <x:v>4xx</x:v>
      </x:c>
      <x:c r="H38" s="36" t="str">
        <x:v>Request rejected because required registration data is absent</x:v>
      </x:c>
      <x:c r="I38" s="36" t="str">
        <x:v>Required-field robustness</x:v>
      </x:c>
      <x:c r="J38" s="36" t="str">
        <x:v>INCOMPLETE</x:v>
      </x:c>
      <x:c r="K38" s="36" t="str">
        <x:v>AI assumed an empty object must be rejected. The supplied spec does not formally declare required properties and the schema columns are nullable.</x:v>
      </x:c>
      <x:c r="L38" s="36" t="str">
        <x:v>Do not assert a spec-defined 4xx. Characterize actual implementation behavior.</x:v>
      </x:c>
      <x:c r="M38" s="36" t="str">
        <x:v>Automated Newman</x:v>
      </x:c>
      <x:c r="N38" s="36" t="str">
        <x:v>PASS</x:v>
      </x:c>
      <x:c r="O38" s="36" t="str">
        <x:v>Executed successfully; corrected/characterization assertions passed.</x:v>
      </x:c>
      <x:c r="P38" s="36" t="str"/>
      <x:c r="Q38" s="36" t="str">
        <x:v>api1_registration_ai_generated.md; api1_registration_audit.md</x:v>
      </x:c>
    </x:row>
    <x:row r="39" ht="48" customHeight="1">
      <x:c r="A39" s="36" t="str">
        <x:v>REG-AI-035</x:v>
      </x:c>
      <x:c r="B39" s="36" t="str">
        <x:v>AI Generated</x:v>
      </x:c>
      <x:c r="C39" s="36" t="str">
        <x:v>Body / parser robustness</x:v>
      </x:c>
      <x:c r="D39" s="36" t="str">
        <x:v>Malformed JSON</x:v>
      </x:c>
      <x:c r="E39" s="36" t="str">
        <x:v>{"name":"User 035","email":"hw06.reg035@example.com","password":"Password123!"</x:v>
      </x:c>
      <x:c r="F39" s="36" t="str"/>
      <x:c r="G39" s="36" t="str">
        <x:v>400</x:v>
      </x:c>
      <x:c r="H39" s="36" t="str">
        <x:v>Request rejected as malformed JSON; server remains available</x:v>
      </x:c>
      <x:c r="I39" s="36" t="str">
        <x:v>JSON parser robustness</x:v>
      </x:c>
      <x:c r="J39" s="36" t="str">
        <x:v>VALID</x:v>
      </x:c>
      <x:c r="K39" s="36" t="str">
        <x:v>Malformed JSON is a protocol/parser robustness case. A JSON API should reject syntactically malformed JSON before normal handler processing.</x:v>
      </x:c>
      <x:c r="L39" s="36" t="str">
        <x:v>400 parser error; server remains available. Do not require the registration success schema.</x:v>
      </x:c>
      <x:c r="M39" s="36" t="str">
        <x:v>Automated Newman</x:v>
      </x:c>
      <x:c r="N39" s="36" t="str">
        <x:v>PASS</x:v>
      </x:c>
      <x:c r="O39" s="36" t="str">
        <x:v>Executed successfully; corrected/characterization assertions passed.</x:v>
      </x:c>
      <x:c r="P39" s="36" t="str"/>
      <x:c r="Q39" s="36" t="str">
        <x:v>api1_registration_ai_generated.md; api1_registration_audit.md</x:v>
      </x:c>
    </x:row>
    <x:row r="40" ht="48" customHeight="1">
      <x:c r="A40" s="36" t="str">
        <x:v>REG-AI-036</x:v>
      </x:c>
      <x:c r="B40" s="36" t="str">
        <x:v>AI Generated</x:v>
      </x:c>
      <x:c r="C40" s="36" t="str">
        <x:v>Body / type robustness</x:v>
      </x:c>
      <x:c r="D40" s="36" t="str">
        <x:v>JSON array instead of object</x:v>
      </x:c>
      <x:c r="E40" s="36" t="str">
        <x:v>[{"name":"User 036","email":"hw06.reg036@example.com","password":"Password123!"}]</x:v>
      </x:c>
      <x:c r="F40" s="36" t="str"/>
      <x:c r="G40" s="36" t="str">
        <x:v>4xx</x:v>
      </x:c>
      <x:c r="H40" s="36" t="str">
        <x:v>Request rejected because request body shape is invalid</x:v>
      </x:c>
      <x:c r="I40" s="36" t="str">
        <x:v>Schema/body-shape validation</x:v>
      </x:c>
      <x:c r="J40" s="36" t="str">
        <x:v>INCOMPLETE</x:v>
      </x:c>
      <x:c r="K40" s="36" t="str">
        <x:v>The spec illustrates an object body, but no formal schema-validation response is defined. Handler code does not explicitly validate body type.</x:v>
      </x:c>
      <x:c r="L40" s="36" t="str">
        <x:v>Retain as body-shape robustness test. Establish the exact implementation result during execution rather than inventing a 4xx oracle.</x:v>
      </x:c>
      <x:c r="M40" s="36" t="str">
        <x:v>Automated Newman</x:v>
      </x:c>
      <x:c r="N40" s="36" t="str">
        <x:v>PASS</x:v>
      </x:c>
      <x:c r="O40" s="36" t="str">
        <x:v>Executed successfully; corrected/characterization assertions passed.</x:v>
      </x:c>
      <x:c r="P40" s="36" t="str"/>
      <x:c r="Q40" s="36" t="str">
        <x:v>api1_registration_ai_generated.md; api1_registration_audit.md</x:v>
      </x:c>
    </x:row>
    <x:row r="41" ht="48" customHeight="1">
      <x:c r="A41" s="36" t="str">
        <x:v>REG-AI-037</x:v>
      </x:c>
      <x:c r="B41" s="36" t="str">
        <x:v>AI Generated</x:v>
      </x:c>
      <x:c r="C41" s="36" t="str">
        <x:v>Security / mass assignment</x:v>
      </x:c>
      <x:c r="D41" s="36" t="str">
        <x:v>Attempt to self-register as admin by adding role</x:v>
      </x:c>
      <x:c r="E41" s="36" t="str">
        <x:v>{"name":"User 037","email":"hw06.reg037@example.com","password":"Password123!","role":"admin"}</x:v>
      </x:c>
      <x:c r="F41" s="36" t="str"/>
      <x:c r="G41" s="36" t="str">
        <x:v>200</x:v>
      </x:c>
      <x:c r="H41" s="36" t="str">
        <x:v>Account may be created, but supplied role must be ignored and privilege must remain normal user</x:v>
      </x:c>
      <x:c r="I41" s="36" t="str">
        <x:v>Role escalation / mass assignment</x:v>
      </x:c>
      <x:c r="J41" s="36" t="str">
        <x:v>VALID</x:v>
      </x:c>
      <x:c r="K41" s="36" t="str">
        <x:v>This directly tests role-escalation/mass-assignment resistance. Handler destructures only `name`, `email`, `password`, and DB defaults role to `user`.</x:v>
      </x:c>
      <x:c r="L41" s="36" t="str">
        <x:v>200 is acceptable only if supplied `role` is ignored and resulting account remains a normal user.</x:v>
      </x:c>
      <x:c r="M41" s="36" t="str">
        <x:v>Automated Newman</x:v>
      </x:c>
      <x:c r="N41" s="36" t="str">
        <x:v>PASS</x:v>
      </x:c>
      <x:c r="O41" s="36" t="str">
        <x:v>Executed successfully; corrected/characterization assertions passed.</x:v>
      </x:c>
      <x:c r="P41" s="36" t="str"/>
      <x:c r="Q41" s="36" t="str">
        <x:v>api1_registration_ai_generated.md; api1_registration_audit.md</x:v>
      </x:c>
    </x:row>
    <x:row r="42" ht="48" customHeight="1">
      <x:c r="A42" s="36" t="str">
        <x:v>REG-AI-038</x:v>
      </x:c>
      <x:c r="B42" s="36" t="str">
        <x:v>AI Generated</x:v>
      </x:c>
      <x:c r="C42" s="36" t="str">
        <x:v>Security / mass assignment</x:v>
      </x:c>
      <x:c r="D42" s="36" t="str">
        <x:v>Attempt to control primary key with id field</x:v>
      </x:c>
      <x:c r="E42" s="36" t="str">
        <x:v>{"id":999999,"name":"User 038","email":"hw06.reg038@example.com","password":"Password123!"}</x:v>
      </x:c>
      <x:c r="F42" s="36" t="str"/>
      <x:c r="G42" s="36" t="str">
        <x:v>200</x:v>
      </x:c>
      <x:c r="H42" s="36" t="str">
        <x:v>Account may be created, but client-supplied id must not control generated user id</x:v>
      </x:c>
      <x:c r="I42" s="36" t="str">
        <x:v>Mass assignment / server-owned fields</x:v>
      </x:c>
      <x:c r="J42" s="36" t="str">
        <x:v>VALID</x:v>
      </x:c>
      <x:c r="K42" s="36" t="str">
        <x:v>This tests server-owned identifier mass assignment. Handler ignores client `id`; SQLite owns the autoincrement primary key.</x:v>
      </x:c>
      <x:c r="L42" s="36" t="str">
        <x:v>200 is acceptable only if returned/generated id is server-controlled and not forced to `999999`.</x:v>
      </x:c>
      <x:c r="M42" s="36" t="str">
        <x:v>Automated Newman</x:v>
      </x:c>
      <x:c r="N42" s="36" t="str">
        <x:v>PASS</x:v>
      </x:c>
      <x:c r="O42" s="36" t="str">
        <x:v>Executed successfully; corrected/characterization assertions passed.</x:v>
      </x:c>
      <x:c r="P42" s="36" t="str"/>
      <x:c r="Q42" s="36" t="str">
        <x:v>api1_registration_ai_generated.md; api1_registration_audit.md</x:v>
      </x:c>
    </x:row>
    <x:row r="43" ht="48" customHeight="1">
      <x:c r="A43" s="36" t="str">
        <x:v>REG-AI-039</x:v>
      </x:c>
      <x:c r="B43" s="36" t="str">
        <x:v>AI Generated</x:v>
      </x:c>
      <x:c r="C43" s="36" t="str">
        <x:v>Security / SQL injection</x:v>
      </x:c>
      <x:c r="D43" s="36" t="str">
        <x:v>SQL injection payload in email</x:v>
      </x:c>
      <x:c r="E43" s="36" t="str">
        <x:v>{"name":"User 039","email":"x@example.com' OR 1=1 --","password":"Password123!"}</x:v>
      </x:c>
      <x:c r="F43" s="36" t="str"/>
      <x:c r="G43" s="36" t="str">
        <x:v>4xx or safe literal handling</x:v>
      </x:c>
      <x:c r="H43" s="36" t="str">
        <x:v>Payload must not alter SQL semantics, expose data, or bypass registration rules</x:v>
      </x:c>
      <x:c r="I43" s="36" t="str">
        <x:v>SQL injection</x:v>
      </x:c>
      <x:c r="J43" s="36" t="str">
        <x:v>INCOMPLETE</x:v>
      </x:c>
      <x:c r="K43" s="36" t="str">
        <x:v>The security objective is valid, but AI left an ambiguous `4xx or safe literal handling` oracle. The implementation uses parameterized SQL, so the payload should not change SQL semantics.</x:v>
      </x:c>
      <x:c r="L43" s="36" t="str">
        <x:v>Correct oracle: request is handled as literal data (normally 200 in current implementation); no SQL execution/bypass/data disclosure occurs.</x:v>
      </x:c>
      <x:c r="M43" s="36" t="str">
        <x:v>Automated Newman</x:v>
      </x:c>
      <x:c r="N43" s="36" t="str">
        <x:v>PASS</x:v>
      </x:c>
      <x:c r="O43" s="36" t="str">
        <x:v>Executed successfully; corrected/characterization assertions passed.</x:v>
      </x:c>
      <x:c r="P43" s="36" t="str"/>
      <x:c r="Q43" s="36" t="str">
        <x:v>api1_registration_ai_generated.md; api1_registration_audit.md</x:v>
      </x:c>
    </x:row>
    <x:row r="44" ht="48" customHeight="1">
      <x:c r="A44" s="36" t="str">
        <x:v>REG-AI-040</x:v>
      </x:c>
      <x:c r="B44" s="36" t="str">
        <x:v>AI Generated</x:v>
      </x:c>
      <x:c r="C44" s="36" t="str">
        <x:v>Security / stored content</x:v>
      </x:c>
      <x:c r="D44" s="36" t="str">
        <x:v>Script payload in name</x:v>
      </x:c>
      <x:c r="E44" s="36" t="str">
        <x:v>{"name":"&lt;script&gt;alert(1)&lt;/script&gt;","email":"hw06.reg040@example.com","password":"Password123!"}</x:v>
      </x:c>
      <x:c r="F44" s="36" t="str"/>
      <x:c r="G44" s="36" t="str">
        <x:v>200 or 4xx</x:v>
      </x:c>
      <x:c r="H44" s="36" t="str">
        <x:v>Input must be handled as inert data; no script execution or server failure</x:v>
      </x:c>
      <x:c r="I44" s="36" t="str">
        <x:v>Stored-XSS-oriented input handling</x:v>
      </x:c>
      <x:c r="J44" s="36" t="str">
        <x:v>INCOMPLETE</x:v>
      </x:c>
      <x:c r="K44" s="36" t="str">
        <x:v>Stored-script input is a useful security probe, but registration alone cannot prove whether stored XSS executes later, and AI gave two possible HTTP outcomes.</x:v>
      </x:c>
      <x:c r="L44" s="36" t="str">
        <x:v>At this endpoint, assert safe storage/handling and no server failure. Any execution of the script must be tested at a later rendering sink before calling it an XSS bug.</x:v>
      </x:c>
      <x:c r="M44" s="36" t="str">
        <x:v>Automated Newman</x:v>
      </x:c>
      <x:c r="N44" s="36" t="str">
        <x:v>PASS</x:v>
      </x:c>
      <x:c r="O44" s="36" t="str">
        <x:v>Executed successfully; corrected/characterization assertions passed.</x:v>
      </x:c>
      <x:c r="P44" s="36" t="str"/>
      <x:c r="Q44" s="36" t="str">
        <x:v>api1_registration_ai_generated.md; api1_registration_audit.md</x:v>
      </x:c>
    </x:row>
    <x:row r="45" ht="48" customHeight="1">
      <x:c r="A45" s="36" t="str">
        <x:v>REG-AI-041</x:v>
      </x:c>
      <x:c r="B45" s="36" t="str">
        <x:v>AI Generated</x:v>
      </x:c>
      <x:c r="C45" s="36" t="str">
        <x:v>State / duplicate</x:v>
      </x:c>
      <x:c r="D45" s="36" t="str">
        <x:v>Register the same email twice</x:v>
      </x:c>
      <x:c r="E45" s="36" t="str">
        <x:v>Step 1: {"name":"First","email":"hw06.duplicate@example.com","password":"Password123!"}; Step 2: same email again</x:v>
      </x:c>
      <x:c r="F45" s="36" t="str"/>
      <x:c r="G45" s="36" t="str">
        <x:v>4xx on second request</x:v>
      </x:c>
      <x:c r="H45" s="36" t="str">
        <x:v>Second registration should not create another account for the same email</x:v>
      </x:c>
      <x:c r="I45" s="36" t="str">
        <x:v>Duplicate-account state behavior; uniqueness must be audited</x:v>
      </x:c>
      <x:c r="J45" s="36" t="str">
        <x:v>INVALID</x:v>
      </x:c>
      <x:c r="K45" s="36" t="str">
        <x:v>AI assumed email uniqueness. The supplied spec does not state it and the `users.email` column has no UNIQUE constraint; the handler performs no duplicate lookup.</x:v>
      </x:c>
      <x:c r="L45" s="36" t="str">
        <x:v>Correct current expectation: second registration is accepted and creates another row. Treat uniqueness as a requirement gap/potential issue, not a confirmed API-spec defect from the supplied documents alone.</x:v>
      </x:c>
      <x:c r="M45" s="36" t="str">
        <x:v>Automated Newman</x:v>
      </x:c>
      <x:c r="N45" s="36" t="str">
        <x:v>PASS</x:v>
      </x:c>
      <x:c r="O45" s="36" t="str">
        <x:v>Executed successfully; corrected/characterization assertions passed.</x:v>
      </x:c>
      <x:c r="P45" s="36" t="str"/>
      <x:c r="Q45" s="36" t="str">
        <x:v>api1_registration_ai_generated.md; api1_registration_audit.md</x:v>
      </x:c>
    </x:row>
    <x:row r="46" ht="48" customHeight="1">
      <x:c r="A46" s="36" t="str">
        <x:v>REG-AI-042</x:v>
      </x:c>
      <x:c r="B46" s="36" t="str">
        <x:v>AI Generated</x:v>
      </x:c>
      <x:c r="C46" s="36" t="str">
        <x:v>Response schema / security</x:v>
      </x:c>
      <x:c r="D46" s="36" t="str">
        <x:v>Verify success response exposes only documented fields</x:v>
      </x:c>
      <x:c r="E46" s="36" t="str">
        <x:v>{"name":"User 042","email":"hw06.reg042@example.com","password":"Password123!"}</x:v>
      </x:c>
      <x:c r="F46" s="36" t="str"/>
      <x:c r="G46" s="36" t="str">
        <x:v>200</x:v>
      </x:c>
      <x:c r="H46" s="36" t="str">
        <x:v>Response contains documented message and id and does not echo password or sensitive/internal fields</x:v>
      </x:c>
      <x:c r="I46" s="36" t="str">
        <x:v>Exact response shape / information exposure</x:v>
      </x:c>
      <x:c r="J46" s="36" t="str">
        <x:v>VALID</x:v>
      </x:c>
      <x:c r="K46" s="36" t="str">
        <x:v>HW06 explicitly requires schema validation and the API spec documents the success response shape as `message` + `id`.</x:v>
      </x:c>
      <x:c r="L46" s="36" t="str">
        <x:v>200; exact documented success fields are present; password and internal fields are not returned.</x:v>
      </x:c>
      <x:c r="M46" s="36" t="str">
        <x:v>Automated Newman</x:v>
      </x:c>
      <x:c r="N46" s="36" t="str">
        <x:v>PASS</x:v>
      </x:c>
      <x:c r="O46" s="36" t="str">
        <x:v>Executed successfully; corrected/characterization assertions passed.</x:v>
      </x:c>
      <x:c r="P46" s="36" t="str"/>
      <x:c r="Q46" s="36" t="str">
        <x:v>api1_registration_ai_generated.md; api1_registration_audit.md</x:v>
      </x:c>
    </x:row>
    <x:row r="47" ht="48" customHeight="1">
      <x:c r="A47" s="36" t="str">
        <x:v>REG-HUM-001</x:v>
      </x:c>
      <x:c r="B47" s="36" t="str">
        <x:v>Human Extension</x:v>
      </x:c>
      <x:c r="C47" s="36" t="str">
        <x:v>Protocol / robustness</x:v>
      </x:c>
      <x:c r="D47" s="36" t="str">
        <x:v>Send a JSON-looking registration body with `Content-Type: text/plain`.</x:v>
      </x:c>
      <x:c r="E47" s="36" t="str">
        <x:v>Header `Content-Type: text/plain`; body `{"name":"Human 001","email":"hw06.hum001@example.com","password":"Password123!"}`</x:v>
      </x:c>
      <x:c r="F47" s="36" t="str"/>
      <x:c r="G47" s="36" t="str"/>
      <x:c r="H47" s="36" t="str"/>
      <x:c r="I47" s="36" t="str">
        <x:v>The AI focused mostly on JSON field partitions and malformed JSON, but did not vary the HTTP media type.</x:v>
      </x:c>
      <x:c r="J47" s="36" t="str">
        <x:v>HUMAN EXTENSION</x:v>
      </x:c>
      <x:c r="K47" s="36" t="str">
        <x:v>Added after the AI audit to cover a gap or strengthen evidence.</x:v>
      </x:c>
      <x:c r="L47" s="36" t="str">
        <x:v>The server must handle the request safely and must not crash. Record the actual HTTP status/body; do not treat a particular validation status as specified because the API spec does not define unsupported content-type behavior.</x:v>
      </x:c>
      <x:c r="M47" s="36" t="str">
        <x:v>Automated Newman</x:v>
      </x:c>
      <x:c r="N47" s="36" t="str">
        <x:v>FAIL</x:v>
      </x:c>
      <x:c r="O47" s="36" t="str">
        <x:v>HTTP 500 with text/plain body; Newman assertion failed (server returned 5xx).</x:v>
      </x:c>
      <x:c r="P47" s="36" t="str">
        <x:v>https://github.com/aohymevoL666/software-testing-homework6/issues/1</x:v>
      </x:c>
      <x:c r="Q47" s="36" t="str">
        <x:v>api1_registration_human_extension.md</x:v>
      </x:c>
    </x:row>
    <x:row r="48" ht="48" customHeight="1">
      <x:c r="A48" s="36" t="str">
        <x:v>REG-HUM-002</x:v>
      </x:c>
      <x:c r="B48" s="36" t="str">
        <x:v>Human Extension</x:v>
      </x:c>
      <x:c r="C48" s="36" t="str">
        <x:v>Protocol / robustness</x:v>
      </x:c>
      <x:c r="D48" s="36" t="str">
        <x:v>Send the normal registration body without a `Content-Type` header.</x:v>
      </x:c>
      <x:c r="E48" s="36" t="str">
        <x:v>No `Content-Type`; raw body `{"name":"Human 002","email":"hw06.hum002@example.com","password":"Password123!"}`</x:v>
      </x:c>
      <x:c r="F48" s="36" t="str"/>
      <x:c r="G48" s="36" t="str"/>
      <x:c r="H48" s="36" t="str"/>
      <x:c r="I48" s="36" t="str">
        <x:v>The AI treated the request body as if JSON parsing were always correctly configured and did not test the parser precondition.</x:v>
      </x:c>
      <x:c r="J48" s="36" t="str">
        <x:v>HUMAN EXTENSION</x:v>
      </x:c>
      <x:c r="K48" s="36" t="str">
        <x:v>Added after the AI audit to cover a gap or strengthen evidence.</x:v>
      </x:c>
      <x:c r="L48" s="36" t="str">
        <x:v>The server must fail safely or process the request consistently; no unhandled server crash. Exact status is characterization because the supplied API spec does not define missing-content-type behavior.</x:v>
      </x:c>
      <x:c r="M48" s="36" t="str">
        <x:v>Automated Newman</x:v>
      </x:c>
      <x:c r="N48" s="36" t="str">
        <x:v>FAIL</x:v>
      </x:c>
      <x:c r="O48" s="36" t="str">
        <x:v>HTTP 500 when Content-Type was omitted; Newman assertion failed (server returned 5xx).</x:v>
      </x:c>
      <x:c r="P48" s="36" t="str">
        <x:v>https://github.com/aohymevoL666/software-testing-homework6/issues/1</x:v>
      </x:c>
      <x:c r="Q48" s="36" t="str">
        <x:v>api1_registration_human_extension.md</x:v>
      </x:c>
    </x:row>
    <x:row r="49" ht="48" customHeight="1">
      <x:c r="A49" s="36" t="str">
        <x:v>REG-HUM-003</x:v>
      </x:c>
      <x:c r="B49" s="36" t="str">
        <x:v>Human Extension</x:v>
      </x:c>
      <x:c r="C49" s="36" t="str">
        <x:v>Body shape / robustness</x:v>
      </x:c>
      <x:c r="D49" s="36" t="str">
        <x:v>Send JSON `null` as the entire request body.</x:v>
      </x:c>
      <x:c r="E49" s="36" t="str">
        <x:v>Header `Content-Type: application/json`; body `null`</x:v>
      </x:c>
      <x:c r="F49" s="36" t="str"/>
      <x:c r="G49" s="36" t="str"/>
      <x:c r="H49" s="36" t="str"/>
      <x:c r="I49" s="36" t="str">
        <x:v>The AI tested `{}` and an array, but missed the distinct `null` body shape, which is important because the handler immediately destructures `req.body`.</x:v>
      </x:c>
      <x:c r="J49" s="36" t="str">
        <x:v>HUMAN EXTENSION</x:v>
      </x:c>
      <x:c r="K49" s="36" t="str">
        <x:v>Added after the AI audit to cover a gap or strengthen evidence.</x:v>
      </x:c>
      <x:c r="L49" s="36" t="str">
        <x:v>The request must be handled without an unhandled exception or server termination. Exact error status/body is characterized during execution.</x:v>
      </x:c>
      <x:c r="M49" s="36" t="str">
        <x:v>Automated Newman</x:v>
      </x:c>
      <x:c r="N49" s="36" t="str">
        <x:v>PASS</x:v>
      </x:c>
      <x:c r="O49" s="36" t="str">
        <x:v>HTTP 400; malformed/null request handled without 5xx.</x:v>
      </x:c>
      <x:c r="P49" s="36" t="str"/>
      <x:c r="Q49" s="36" t="str">
        <x:v>api1_registration_human_extension.md</x:v>
      </x:c>
    </x:row>
    <x:row r="50" ht="48" customHeight="1">
      <x:c r="A50" s="36" t="str">
        <x:v>REG-HUM-004</x:v>
      </x:c>
      <x:c r="B50" s="36" t="str">
        <x:v>Human Extension</x:v>
      </x:c>
      <x:c r="C50" s="36" t="str">
        <x:v>State / account identity</x:v>
      </x:c>
      <x:c r="D50" s="36" t="str">
        <x:v>Register the same email twice but use a different name and password on the second request.</x:v>
      </x:c>
      <x:c r="E50" s="36" t="str">
        <x:v>1) `{"name":"First Owner","email":"hw06.identity@example.com","password":"Password111!"}`  2) `{"name":"Second Owner","email":"hw06.identity@example.com","password":"Different222!"}`</x:v>
      </x:c>
      <x:c r="F50" s="36" t="str"/>
      <x:c r="G50" s="36" t="str"/>
      <x:c r="H50" s="36" t="str"/>
      <x:c r="I50" s="36" t="str">
        <x:v>The AI only tried an identical duplicate request and did not vary credentials, so it missed the account-identity ambiguity created when duplicate emails have different passwords.</x:v>
      </x:c>
      <x:c r="J50" s="36" t="str">
        <x:v>HUMAN EXTENSION</x:v>
      </x:c>
      <x:c r="K50" s="36" t="str">
        <x:v>Added after the AI audit to cover a gap or strengthen evidence.</x:v>
      </x:c>
      <x:c r="L50" s="36" t="str">
        <x:v>Characterize whether two account records can share the same email. The supplied spec does not define uniqueness, so duplicate acceptance is not automatically a conformance bug; however, the result is security-relevant because login identity may become ambiguous.</x:v>
      </x:c>
      <x:c r="M50" s="36" t="str">
        <x:v>Automated Newman</x:v>
      </x:c>
      <x:c r="N50" s="36" t="str">
        <x:v>PASS</x:v>
      </x:c>
      <x:c r="O50" s="36" t="str">
        <x:v>Executed successfully; corrected/characterization assertions passed.</x:v>
      </x:c>
      <x:c r="P50" s="36" t="str"/>
      <x:c r="Q50" s="36" t="str">
        <x:v>api1_registration_human_extension.md</x:v>
      </x:c>
    </x:row>
    <x:row r="51" ht="48" customHeight="1">
      <x:c r="A51" s="36" t="str">
        <x:v>REG-HUM-005</x:v>
      </x:c>
      <x:c r="B51" s="36" t="str">
        <x:v>Human Extension</x:v>
      </x:c>
      <x:c r="C51" s="36" t="str">
        <x:v>State / normalization</x:v>
      </x:c>
      <x:c r="D51" s="36" t="str">
        <x:v>Register two accounts whose emails differ only by letter case.</x:v>
      </x:c>
      <x:c r="E51" s="36" t="str">
        <x:v>1) `{"name":"Case One","email":"CaseUser@example.com","password":"Password123!"}`  2) `{"name":"Case Two","email":"caseuser@example.com","password":"Password456!"}`</x:v>
      </x:c>
      <x:c r="F51" s="36" t="str"/>
      <x:c r="G51" s="36" t="str"/>
      <x:c r="H51" s="36" t="str"/>
      <x:c r="I51" s="36" t="str">
        <x:v>The AI tested uppercase email syntax but did not combine case variation with registration state across two requests.</x:v>
      </x:c>
      <x:c r="J51" s="36" t="str">
        <x:v>HUMAN EXTENSION</x:v>
      </x:c>
      <x:c r="K51" s="36" t="str">
        <x:v>Added after the AI audit to cover a gap or strengthen evidence.</x:v>
      </x:c>
      <x:c r="L51" s="36" t="str">
        <x:v>Characterize whether the SUT treats the two values as distinct identities. No normalization rule is stated in the supplied spec, so the test documents behavior rather than assuming rejection.</x:v>
      </x:c>
      <x:c r="M51" s="36" t="str">
        <x:v>Automated Newman</x:v>
      </x:c>
      <x:c r="N51" s="36" t="str">
        <x:v>PASS</x:v>
      </x:c>
      <x:c r="O51" s="36" t="str">
        <x:v>Executed successfully; corrected/characterization assertions passed.</x:v>
      </x:c>
      <x:c r="P51" s="36" t="str"/>
      <x:c r="Q51" s="36" t="str">
        <x:v>api1_registration_human_extension.md</x:v>
      </x:c>
    </x:row>
    <x:row r="52" ht="48" customHeight="1">
      <x:c r="A52" s="36" t="str">
        <x:v>REG-HUM-006</x:v>
      </x:c>
      <x:c r="B52" s="36" t="str">
        <x:v>Human Extension</x:v>
      </x:c>
      <x:c r="C52" s="36" t="str">
        <x:v>Security / mass assignment</x:v>
      </x:c>
      <x:c r="D52" s="36" t="str">
        <x:v>Attempt to set security-sensitive server-owned account fields during registration.</x:v>
      </x:c>
      <x:c r="E52" s="36" t="str">
        <x:v>`{"name":"Human 006","email":"hw06.hum006@example.com","password":"Password123!","login_attempts":99,"locked_until":"2099-01-01T00:00:00Z","reset_token":"attacker-token"}`</x:v>
      </x:c>
      <x:c r="F52" s="36" t="str"/>
      <x:c r="G52" s="36" t="str"/>
      <x:c r="H52" s="36" t="str"/>
      <x:c r="I52" s="36" t="str">
        <x:v>The AI checked mass assignment for `role` and `id` only. Human review of the user schema exposed additional security-sensitive fields that are also server-owned.</x:v>
      </x:c>
      <x:c r="J52" s="36" t="str">
        <x:v>HUMAN EXTENSION</x:v>
      </x:c>
      <x:c r="K52" s="36" t="str">
        <x:v>Added after the AI audit to cover a gap or strengthen evidence.</x:v>
      </x:c>
      <x:c r="L52" s="36" t="str">
        <x:v>Registration may succeed, but the supplied values for `login_attempts`, `locked_until`, and `reset_token` must not be written from the client request. The handler should use only `name`, `email`, and `password` and database defaults/internal state for the other fields.</x:v>
      </x:c>
      <x:c r="M52" s="36" t="str">
        <x:v>Automated Newman</x:v>
      </x:c>
      <x:c r="N52" s="36" t="str">
        <x:v>PASS</x:v>
      </x:c>
      <x:c r="O52" s="36" t="str">
        <x:v>Executed successfully; corrected/characterization assertions passed.</x:v>
      </x:c>
      <x:c r="P52" s="36" t="str"/>
      <x:c r="Q52" s="36" t="str">
        <x:v>api1_registration_human_extension.md</x:v>
      </x:c>
    </x:row>
  </x:sheetData>
  <x:mergeCells>
    <x:mergeCell ref="A1:Q1"/>
    <x:mergeCell ref="A3:Q3"/>
  </x:mergeCells>
  <x:conditionalFormatting sqref="J5:J52">
    <x:cfRule type="expression" dxfId="0" priority="1">
      <x:formula>J5="VALID"</x:formula>
    </x:cfRule>
    <x:cfRule type="expression" dxfId="1" priority="2">
      <x:formula>J5="INVALID"</x:formula>
    </x:cfRule>
    <x:cfRule type="expression" dxfId="2" priority="3">
      <x:formula>J5="INCOMPLETE"</x:formula>
    </x:cfRule>
    <x:cfRule type="expression" dxfId="3" priority="4">
      <x:formula>J5="HUMAN EXTENSION"</x:formula>
    </x:cfRule>
  </x:conditionalFormatting>
  <x:conditionalFormatting sqref="N5:N52">
    <x:cfRule type="expression" dxfId="4" priority="5">
      <x:formula>N5="PASS"</x:formula>
    </x:cfRule>
    <x:cfRule type="expression" dxfId="5" priority="6">
      <x:formula>N5="FAIL"</x:formula>
    </x:cfRule>
    <x:cfRule type="expression" dxfId="6" priority="7">
      <x:formula>N5="NOT EXECUTED"</x:formula>
    </x:cfRule>
  </x:conditionalFormatting>
  <x:pageMargins left="0.7" right="0.7" top="0.75" bottom="0.75" header="0.3" footer="0.3"/>
  <x:tableParts count="1">
    <x:tablePart xmlns:r="http://schemas.openxmlformats.org/officeDocument/2006/relationships" r:id="R29b444d275964ad2"/>
  </x:tableParts>
</x:worksheet>
</file>

<file path=xl/worksheets/sheet2.xml><?xml version="1.0" encoding="utf-8"?>
<x:worksheet xmlns:x="http://schemas.openxmlformats.org/spreadsheetml/2006/main">
  <x:sheetFormatPr defaultRowHeight="15"/>
  <x:cols>
    <x:col min="1" max="1" width="16" hidden="0" customWidth="1"/>
    <x:col min="2" max="2" width="16" hidden="0" customWidth="1"/>
    <x:col min="3" max="3" width="25" hidden="0" customWidth="1"/>
    <x:col min="4" max="4" width="36" hidden="0" customWidth="1"/>
    <x:col min="5" max="5" width="44" hidden="0" customWidth="1"/>
    <x:col min="6" max="6" width="24" hidden="0" customWidth="1"/>
    <x:col min="7" max="7" width="18" hidden="0" customWidth="1"/>
    <x:col min="8" max="8" width="36" hidden="0" customWidth="1"/>
    <x:col min="9" max="9" width="38" hidden="0" customWidth="1"/>
    <x:col min="10" max="10" width="16" hidden="0" customWidth="1"/>
    <x:col min="11" max="11" width="44" hidden="0" customWidth="1"/>
    <x:col min="12" max="12" width="44" hidden="0" customWidth="1"/>
    <x:col min="13" max="13" width="17" hidden="0" customWidth="1"/>
    <x:col min="14" max="14" width="16" hidden="0" customWidth="1"/>
    <x:col min="15" max="15" width="40" hidden="0" customWidth="1"/>
    <x:col min="16" max="16" width="38" hidden="0" customWidth="1"/>
    <x:col min="17" max="17" width="34" hidden="0" customWidth="1"/>
  </x:cols>
  <x:sheetData>
    <x:row r="1" ht="28" customHeight="1">
      <x:c r="A1" s="5" t="str">
        <x:v>HW06 — API 2 Test Cases</x:v>
      </x:c>
      <x:c r="B1" s="5"/>
      <x:c r="C1" s="5"/>
      <x:c r="D1" s="5"/>
      <x:c r="E1" s="5"/>
      <x:c r="F1" s="5"/>
      <x:c r="G1" s="5"/>
      <x:c r="H1" s="5"/>
      <x:c r="I1" s="5"/>
      <x:c r="J1" s="5"/>
      <x:c r="K1" s="5"/>
      <x:c r="L1" s="5"/>
      <x:c r="M1" s="5"/>
      <x:c r="N1" s="5"/>
      <x:c r="O1" s="5"/>
      <x:c r="P1" s="5"/>
      <x:c r="Q1" s="5"/>
    </x:row>
    <x:row r="2">
      <x:c r="A2" s="12" t="str">
        <x:v>Feature</x:v>
      </x:c>
      <x:c r="B2" s="16" t="str">
        <x:v>FR-07 Shopping Cart</x:v>
      </x:c>
      <x:c r="C2" s="12" t="str">
        <x:v>Endpoint</x:v>
      </x:c>
      <x:c r="D2" s="16" t="str">
        <x:v>POST /api/cart</x:v>
      </x:c>
      <x:c r="E2" s="12" t="str">
        <x:v>Student ID</x:v>
      </x:c>
      <x:c r="F2" t="str">
        <x:v>23127531</x:v>
      </x:c>
    </x:row>
    <x:row r="3" ht="34" customHeight="1">
      <x:c r="A3" s="21" t="str">
        <x:v>AI draft expectations are preserved separately from the Human Audit. Execution Status reflects the final executable suite; PASS can represent either a conformance pass or a passed characterization assertion after the AI oracle was corrected.</x:v>
      </x:c>
      <x:c r="B3" s="21"/>
      <x:c r="C3" s="21"/>
      <x:c r="D3" s="21"/>
      <x:c r="E3" s="21"/>
      <x:c r="F3" s="21"/>
      <x:c r="G3" s="21"/>
      <x:c r="H3" s="21"/>
      <x:c r="I3" s="21"/>
      <x:c r="J3" s="21"/>
      <x:c r="K3" s="21"/>
      <x:c r="L3" s="21"/>
      <x:c r="M3" s="21"/>
      <x:c r="N3" s="21"/>
      <x:c r="O3" s="21"/>
      <x:c r="P3" s="21"/>
      <x:c r="Q3" s="21"/>
    </x:row>
    <x:row r="4" ht="38" customHeight="1">
      <x:c r="A4" s="30" t="str">
        <x:v>Test Case ID</x:v>
      </x:c>
      <x:c r="B4" s="30" t="str">
        <x:v>Origin</x:v>
      </x:c>
      <x:c r="C4" s="30" t="str">
        <x:v>Category</x:v>
      </x:c>
      <x:c r="D4" s="30" t="str">
        <x:v>Objective</x:v>
      </x:c>
      <x:c r="E4" s="30" t="str">
        <x:v>Request / Test Data</x:v>
      </x:c>
      <x:c r="F4" s="30" t="str">
        <x:v>Authentication / Setup</x:v>
      </x:c>
      <x:c r="G4" s="30" t="str">
        <x:v>AI Draft Expected HTTP</x:v>
      </x:c>
      <x:c r="H4" s="30" t="str">
        <x:v>AI Draft Expected Result</x:v>
      </x:c>
      <x:c r="I4" s="30" t="str">
        <x:v>Coverage Basis / Why AI Missed</x:v>
      </x:c>
      <x:c r="J4" s="30" t="str">
        <x:v>Audit Label</x:v>
      </x:c>
      <x:c r="K4" s="30" t="str">
        <x:v>Human Review Reasoning</x:v>
      </x:c>
      <x:c r="L4" s="30" t="str">
        <x:v>Corrected / Final Oracle</x:v>
      </x:c>
      <x:c r="M4" s="30" t="str">
        <x:v>Execution Mode</x:v>
      </x:c>
      <x:c r="N4" s="30" t="str">
        <x:v>Execution Status</x:v>
      </x:c>
      <x:c r="O4" s="30" t="str">
        <x:v>Actual Result / Observation</x:v>
      </x:c>
      <x:c r="P4" s="30" t="str">
        <x:v>Bug / GitHub Issue</x:v>
      </x:c>
      <x:c r="Q4" s="30" t="str">
        <x:v>Source Artifact</x:v>
      </x:c>
    </x:row>
    <x:row r="5" ht="48" customHeight="1">
      <x:c r="A5" s="36" t="str">
        <x:v>CART-AI-001</x:v>
      </x:c>
      <x:c r="B5" s="36" t="str">
        <x:v>AI Generated</x:v>
      </x:c>
      <x:c r="C5" s="36" t="str">
        <x:v>Positive / baseline</x:v>
      </x:c>
      <x:c r="D5" s="36" t="str">
        <x:v>Add a typical valid cart item with an authenticated user</x:v>
      </x:c>
      <x:c r="E5" s="36" t="str">
        <x:v>{"id":1,"name":"iPhone 15 Pro Max","price":30000000,"quantity":1}</x:v>
      </x:c>
      <x:c r="F5" s="36" t="str">
        <x:v>Valid user token</x:v>
      </x:c>
      <x:c r="G5" s="36" t="str">
        <x:v>200</x:v>
      </x:c>
      <x:c r="H5" s="36" t="str">
        <x:v>Response contains `message: Added to cart`</x:v>
      </x:c>
      <x:c r="I5" s="36" t="str">
        <x:v>API specification happy path</x:v>
      </x:c>
      <x:c r="J5" s="36" t="str">
        <x:v>VALID</x:v>
      </x:c>
      <x:c r="K5" s="36" t="str">
        <x:v>The API spec defines `POST /api/cart`, Bearer authentication, the four illustrated cart fields, and a successful add operation.</x:v>
      </x:c>
      <x:c r="L5" s="36" t="str">
        <x:v>Valid token + documented body → 200 with `message: Added to cart`.</x:v>
      </x:c>
      <x:c r="M5" s="36" t="str">
        <x:v>Automated Newman</x:v>
      </x:c>
      <x:c r="N5" s="36" t="str">
        <x:v>PASS</x:v>
      </x:c>
      <x:c r="O5" s="36" t="str">
        <x:v>Executed successfully; corrected/characterization assertions passed.</x:v>
      </x:c>
      <x:c r="P5" s="36" t="str"/>
      <x:c r="Q5" s="36" t="str">
        <x:v>api2_cart_ai_generated.md; api2_cart_audit.md</x:v>
      </x:c>
    </x:row>
    <x:row r="6" ht="48" customHeight="1">
      <x:c r="A6" s="36" t="str">
        <x:v>CART-AI-002</x:v>
      </x:c>
      <x:c r="B6" s="36" t="str">
        <x:v>AI Generated</x:v>
      </x:c>
      <x:c r="C6" s="36" t="str">
        <x:v>Quantity / valid partition</x:v>
      </x:c>
      <x:c r="D6" s="36" t="str">
        <x:v>Add quantity = 2</x:v>
      </x:c>
      <x:c r="E6" s="36" t="str">
        <x:v>{"id":1,"name":"iPhone 15 Pro Max","price":30000000,"quantity":2}</x:v>
      </x:c>
      <x:c r="F6" s="36" t="str">
        <x:v>Valid user token</x:v>
      </x:c>
      <x:c r="G6" s="36" t="str">
        <x:v>200</x:v>
      </x:c>
      <x:c r="H6" s="36" t="str">
        <x:v>Item is added successfully</x:v>
      </x:c>
      <x:c r="I6" s="36" t="str">
        <x:v>Representative positive quantity</x:v>
      </x:c>
      <x:c r="J6" s="36" t="str">
        <x:v>VALID</x:v>
      </x:c>
      <x:c r="K6" s="36" t="str">
        <x:v>Representative positive quantity using the documented body shape; no conflicting rule exists.</x:v>
      </x:c>
      <x:c r="L6" s="36" t="str">
        <x:v>200 with documented success message.</x:v>
      </x:c>
      <x:c r="M6" s="36" t="str">
        <x:v>Automated Newman</x:v>
      </x:c>
      <x:c r="N6" s="36" t="str">
        <x:v>PASS</x:v>
      </x:c>
      <x:c r="O6" s="36" t="str">
        <x:v>Executed successfully; corrected/characterization assertions passed.</x:v>
      </x:c>
      <x:c r="P6" s="36" t="str"/>
      <x:c r="Q6" s="36" t="str">
        <x:v>api2_cart_ai_generated.md; api2_cart_audit.md</x:v>
      </x:c>
    </x:row>
    <x:row r="7" ht="48" customHeight="1">
      <x:c r="A7" s="36" t="str">
        <x:v>CART-AI-003</x:v>
      </x:c>
      <x:c r="B7" s="36" t="str">
        <x:v>AI Generated</x:v>
      </x:c>
      <x:c r="C7" s="36" t="str">
        <x:v>Quantity / boundary</x:v>
      </x:c>
      <x:c r="D7" s="36" t="str">
        <x:v>Add quantity = 1</x:v>
      </x:c>
      <x:c r="E7" s="36" t="str">
        <x:v>{"id":2,"name":"Samsung Galaxy S24 Ultra","price":28000000,"quantity":1}</x:v>
      </x:c>
      <x:c r="F7" s="36" t="str">
        <x:v>Valid user token</x:v>
      </x:c>
      <x:c r="G7" s="36" t="str">
        <x:v>200</x:v>
      </x:c>
      <x:c r="H7" s="36" t="str">
        <x:v>Item is added successfully</x:v>
      </x:c>
      <x:c r="I7" s="36" t="str">
        <x:v>Lower positive boundary candidate</x:v>
      </x:c>
      <x:c r="J7" s="36" t="str">
        <x:v>VALID</x:v>
      </x:c>
      <x:c r="K7" s="36" t="str">
        <x:v>Quantity 1 is a normal positive-domain case and the implementation accepts it.</x:v>
      </x:c>
      <x:c r="L7" s="36" t="str">
        <x:v>200 with documented success message.</x:v>
      </x:c>
      <x:c r="M7" s="36" t="str">
        <x:v>Automated Newman</x:v>
      </x:c>
      <x:c r="N7" s="36" t="str">
        <x:v>PASS</x:v>
      </x:c>
      <x:c r="O7" s="36" t="str">
        <x:v>Executed successfully; corrected/characterization assertions passed.</x:v>
      </x:c>
      <x:c r="P7" s="36" t="str"/>
      <x:c r="Q7" s="36" t="str">
        <x:v>api2_cart_ai_generated.md; api2_cart_audit.md</x:v>
      </x:c>
    </x:row>
    <x:row r="8" ht="48" customHeight="1">
      <x:c r="A8" s="36" t="str">
        <x:v>CART-AI-004</x:v>
      </x:c>
      <x:c r="B8" s="36" t="str">
        <x:v>AI Generated</x:v>
      </x:c>
      <x:c r="C8" s="36" t="str">
        <x:v>Quantity / invalid partition</x:v>
      </x:c>
      <x:c r="D8" s="36" t="str">
        <x:v>Add quantity = 0</x:v>
      </x:c>
      <x:c r="E8" s="36" t="str">
        <x:v>{"id":1,"name":"iPhone 15 Pro Max","price":30000000,"quantity":0}</x:v>
      </x:c>
      <x:c r="F8" s="36" t="str">
        <x:v>Valid user token</x:v>
      </x:c>
      <x:c r="G8" s="36" t="str">
        <x:v>4xx</x:v>
      </x:c>
      <x:c r="H8" s="36" t="str">
        <x:v>Request is rejected because quantity must be positive</x:v>
      </x:c>
      <x:c r="I8" s="36" t="str">
        <x:v>AI assumes cart quantity &gt; 0</x:v>
      </x:c>
      <x:c r="J8" s="36" t="str">
        <x:v>INCOMPLETE</x:v>
      </x:c>
      <x:c r="K8" s="36" t="str">
        <x:v>The partition is useful, but the AI invented the rule `quantity &gt; 0`. The supplied API spec does not state that rule and the route performs no validation.</x:v>
      </x:c>
      <x:c r="L8" s="36" t="str">
        <x:v>Retain as characterization. Current implementation is expected to accept quantity 0 and return 200; do not call that a spec defect from this document alone.</x:v>
      </x:c>
      <x:c r="M8" s="36" t="str">
        <x:v>Automated Newman</x:v>
      </x:c>
      <x:c r="N8" s="36" t="str">
        <x:v>PASS</x:v>
      </x:c>
      <x:c r="O8" s="36" t="str">
        <x:v>Executed successfully; corrected/characterization assertions passed.</x:v>
      </x:c>
      <x:c r="P8" s="36" t="str"/>
      <x:c r="Q8" s="36" t="str">
        <x:v>api2_cart_ai_generated.md; api2_cart_audit.md</x:v>
      </x:c>
    </x:row>
    <x:row r="9" ht="48" customHeight="1">
      <x:c r="A9" s="36" t="str">
        <x:v>CART-AI-005</x:v>
      </x:c>
      <x:c r="B9" s="36" t="str">
        <x:v>AI Generated</x:v>
      </x:c>
      <x:c r="C9" s="36" t="str">
        <x:v>Quantity / invalid partition</x:v>
      </x:c>
      <x:c r="D9" s="36" t="str">
        <x:v>Add negative quantity</x:v>
      </x:c>
      <x:c r="E9" s="36" t="str">
        <x:v>{"id":1,"name":"iPhone 15 Pro Max","price":30000000,"quantity":-1}</x:v>
      </x:c>
      <x:c r="F9" s="36" t="str">
        <x:v>Valid user token</x:v>
      </x:c>
      <x:c r="G9" s="36" t="str">
        <x:v>4xx</x:v>
      </x:c>
      <x:c r="H9" s="36" t="str">
        <x:v>Request is rejected because quantity must be positive</x:v>
      </x:c>
      <x:c r="I9" s="36" t="str">
        <x:v>Negative domain partition</x:v>
      </x:c>
      <x:c r="J9" s="36" t="str">
        <x:v>INCOMPLETE</x:v>
      </x:c>
      <x:c r="K9" s="36" t="str">
        <x:v>Negative quantity is a useful business-rule probe, but no rejection rule is supplied or implemented.</x:v>
      </x:c>
      <x:c r="L9" s="36" t="str">
        <x:v>Retain as characterization; current implementation is expected to return 200.</x:v>
      </x:c>
      <x:c r="M9" s="36" t="str">
        <x:v>Automated Newman</x:v>
      </x:c>
      <x:c r="N9" s="36" t="str">
        <x:v>PASS</x:v>
      </x:c>
      <x:c r="O9" s="36" t="str">
        <x:v>Executed successfully; corrected/characterization assertions passed.</x:v>
      </x:c>
      <x:c r="P9" s="36" t="str"/>
      <x:c r="Q9" s="36" t="str">
        <x:v>api2_cart_ai_generated.md; api2_cart_audit.md</x:v>
      </x:c>
    </x:row>
    <x:row r="10" ht="48" customHeight="1">
      <x:c r="A10" s="36" t="str">
        <x:v>CART-AI-006</x:v>
      </x:c>
      <x:c r="B10" s="36" t="str">
        <x:v>AI Generated</x:v>
      </x:c>
      <x:c r="C10" s="36" t="str">
        <x:v>Quantity / type</x:v>
      </x:c>
      <x:c r="D10" s="36" t="str">
        <x:v>Quantity as numeric string</x:v>
      </x:c>
      <x:c r="E10" s="36" t="str">
        <x:v>{"id":1,"name":"iPhone 15 Pro Max","price":30000000,"quantity":"2"}</x:v>
      </x:c>
      <x:c r="F10" s="36" t="str">
        <x:v>Valid user token</x:v>
      </x:c>
      <x:c r="G10" s="36" t="str">
        <x:v>4xx</x:v>
      </x:c>
      <x:c r="H10" s="36" t="str">
        <x:v>Request is rejected because quantity must be numeric</x:v>
      </x:c>
      <x:c r="I10" s="36" t="str">
        <x:v>Type partition</x:v>
      </x:c>
      <x:c r="J10" s="36" t="str">
        <x:v>INCOMPLETE</x:v>
      </x:c>
      <x:c r="K10" s="36" t="str">
        <x:v>The spec example shows a number, but no formal type-validation response is defined; the route stores `req.body` as-is.</x:v>
      </x:c>
      <x:c r="L10" s="36" t="str">
        <x:v>Retain as robustness/type characterization; do not assert 4xx from the supplied spec.</x:v>
      </x:c>
      <x:c r="M10" s="36" t="str">
        <x:v>Automated Newman</x:v>
      </x:c>
      <x:c r="N10" s="36" t="str">
        <x:v>PASS</x:v>
      </x:c>
      <x:c r="O10" s="36" t="str">
        <x:v>Executed successfully; corrected/characterization assertions passed.</x:v>
      </x:c>
      <x:c r="P10" s="36" t="str"/>
      <x:c r="Q10" s="36" t="str">
        <x:v>api2_cart_ai_generated.md; api2_cart_audit.md</x:v>
      </x:c>
    </x:row>
    <x:row r="11" ht="48" customHeight="1">
      <x:c r="A11" s="36" t="str">
        <x:v>CART-AI-007</x:v>
      </x:c>
      <x:c r="B11" s="36" t="str">
        <x:v>AI Generated</x:v>
      </x:c>
      <x:c r="C11" s="36" t="str">
        <x:v>Quantity / type</x:v>
      </x:c>
      <x:c r="D11" s="36" t="str">
        <x:v>Quantity as decimal</x:v>
      </x:c>
      <x:c r="E11" s="36" t="str">
        <x:v>{"id":1,"name":"iPhone 15 Pro Max","price":30000000,"quantity":1.5}</x:v>
      </x:c>
      <x:c r="F11" s="36" t="str">
        <x:v>Valid user token</x:v>
      </x:c>
      <x:c r="G11" s="36" t="str">
        <x:v>4xx</x:v>
      </x:c>
      <x:c r="H11" s="36" t="str">
        <x:v>Request is rejected because quantity should be an integer</x:v>
      </x:c>
      <x:c r="I11" s="36" t="str">
        <x:v>Type/boundary partition</x:v>
      </x:c>
      <x:c r="J11" s="36" t="str">
        <x:v>INCOMPLETE</x:v>
      </x:c>
      <x:c r="K11" s="36" t="str">
        <x:v>Integer-only quantity is not specified.</x:v>
      </x:c>
      <x:c r="L11" s="36" t="str">
        <x:v>Retain as type/boundary characterization; current implementation should accept and return 200.</x:v>
      </x:c>
      <x:c r="M11" s="36" t="str">
        <x:v>Automated Newman</x:v>
      </x:c>
      <x:c r="N11" s="36" t="str">
        <x:v>PASS</x:v>
      </x:c>
      <x:c r="O11" s="36" t="str">
        <x:v>Executed successfully; corrected/characterization assertions passed.</x:v>
      </x:c>
      <x:c r="P11" s="36" t="str"/>
      <x:c r="Q11" s="36" t="str">
        <x:v>api2_cart_ai_generated.md; api2_cart_audit.md</x:v>
      </x:c>
    </x:row>
    <x:row r="12" ht="48" customHeight="1">
      <x:c r="A12" s="36" t="str">
        <x:v>CART-AI-008</x:v>
      </x:c>
      <x:c r="B12" s="36" t="str">
        <x:v>AI Generated</x:v>
      </x:c>
      <x:c r="C12" s="36" t="str">
        <x:v>Quantity / null</x:v>
      </x:c>
      <x:c r="D12" s="36" t="str">
        <x:v>quantity = null</x:v>
      </x:c>
      <x:c r="E12" s="36" t="str">
        <x:v>{"id":1,"name":"iPhone 15 Pro Max","price":30000000,"quantity":null}</x:v>
      </x:c>
      <x:c r="F12" s="36" t="str">
        <x:v>Valid user token</x:v>
      </x:c>
      <x:c r="G12" s="36" t="str">
        <x:v>4xx</x:v>
      </x:c>
      <x:c r="H12" s="36" t="str">
        <x:v>Request is rejected</x:v>
      </x:c>
      <x:c r="I12" s="36" t="str">
        <x:v>Null partition</x:v>
      </x:c>
      <x:c r="J12" s="36" t="str">
        <x:v>INCOMPLETE</x:v>
      </x:c>
      <x:c r="K12" s="36" t="str">
        <x:v>Null quantity rejection is not specified and no validation exists.</x:v>
      </x:c>
      <x:c r="L12" s="36" t="str">
        <x:v>Retain as characterization; current implementation should return 200.</x:v>
      </x:c>
      <x:c r="M12" s="36" t="str">
        <x:v>Automated Newman</x:v>
      </x:c>
      <x:c r="N12" s="36" t="str">
        <x:v>PASS</x:v>
      </x:c>
      <x:c r="O12" s="36" t="str">
        <x:v>Executed successfully; corrected/characterization assertions passed.</x:v>
      </x:c>
      <x:c r="P12" s="36" t="str"/>
      <x:c r="Q12" s="36" t="str">
        <x:v>api2_cart_ai_generated.md; api2_cart_audit.md</x:v>
      </x:c>
    </x:row>
    <x:row r="13" ht="48" customHeight="1">
      <x:c r="A13" s="36" t="str">
        <x:v>CART-AI-009</x:v>
      </x:c>
      <x:c r="B13" s="36" t="str">
        <x:v>AI Generated</x:v>
      </x:c>
      <x:c r="C13" s="36" t="str">
        <x:v>Quantity / missing</x:v>
      </x:c>
      <x:c r="D13" s="36" t="str">
        <x:v>Omit quantity</x:v>
      </x:c>
      <x:c r="E13" s="36" t="str">
        <x:v>{"id":1,"name":"iPhone 15 Pro Max","price":30000000}</x:v>
      </x:c>
      <x:c r="F13" s="36" t="str">
        <x:v>Valid user token</x:v>
      </x:c>
      <x:c r="G13" s="36" t="str">
        <x:v>4xx</x:v>
      </x:c>
      <x:c r="H13" s="36" t="str">
        <x:v>Request is rejected</x:v>
      </x:c>
      <x:c r="I13" s="36" t="str">
        <x:v>Required-field partition</x:v>
      </x:c>
      <x:c r="J13" s="36" t="str">
        <x:v>INCOMPLETE</x:v>
      </x:c>
      <x:c r="K13" s="36" t="str">
        <x:v>The example contains `quantity`, but the supplied spec does not formally declare required properties or rejection behavior.</x:v>
      </x:c>
      <x:c r="L13" s="36" t="str">
        <x:v>Retain as characterization; do not invent a 4xx requirement.</x:v>
      </x:c>
      <x:c r="M13" s="36" t="str">
        <x:v>Automated Newman</x:v>
      </x:c>
      <x:c r="N13" s="36" t="str">
        <x:v>PASS</x:v>
      </x:c>
      <x:c r="O13" s="36" t="str">
        <x:v>Executed successfully; corrected/characterization assertions passed.</x:v>
      </x:c>
      <x:c r="P13" s="36" t="str"/>
      <x:c r="Q13" s="36" t="str">
        <x:v>api2_cart_ai_generated.md; api2_cart_audit.md</x:v>
      </x:c>
    </x:row>
    <x:row r="14" ht="48" customHeight="1">
      <x:c r="A14" s="36" t="str">
        <x:v>CART-AI-010</x:v>
      </x:c>
      <x:c r="B14" s="36" t="str">
        <x:v>AI Generated</x:v>
      </x:c>
      <x:c r="C14" s="36" t="str">
        <x:v>Quantity / boundary</x:v>
      </x:c>
      <x:c r="D14" s="36" t="str">
        <x:v>Extremely large quantity</x:v>
      </x:c>
      <x:c r="E14" s="36" t="str">
        <x:v>{"id":1,"name":"iPhone 15 Pro Max","price":30000000,"quantity":2147483647}</x:v>
      </x:c>
      <x:c r="F14" s="36" t="str">
        <x:v>Valid user token</x:v>
      </x:c>
      <x:c r="G14" s="36" t="str">
        <x:v>4xx or bounded acceptance</x:v>
      </x:c>
      <x:c r="H14" s="36" t="str">
        <x:v>Server handles upper-bound input safely</x:v>
      </x:c>
      <x:c r="I14" s="36" t="str">
        <x:v>Robustness boundary</x:v>
      </x:c>
      <x:c r="J14" s="36" t="str">
        <x:v>INCOMPLETE</x:v>
      </x:c>
      <x:c r="K14" s="36" t="str">
        <x:v>The AI used an ambiguous `4xx or bounded acceptance` oracle and no upper quantity limit is specified.</x:v>
      </x:c>
      <x:c r="L14" s="36" t="str">
        <x:v>Retain as robustness boundary; assert safe handling/no crash, not an invented maximum.</x:v>
      </x:c>
      <x:c r="M14" s="36" t="str">
        <x:v>Automated Newman</x:v>
      </x:c>
      <x:c r="N14" s="36" t="str">
        <x:v>PASS</x:v>
      </x:c>
      <x:c r="O14" s="36" t="str">
        <x:v>Executed successfully; corrected/characterization assertions passed.</x:v>
      </x:c>
      <x:c r="P14" s="36" t="str"/>
      <x:c r="Q14" s="36" t="str">
        <x:v>api2_cart_ai_generated.md; api2_cart_audit.md</x:v>
      </x:c>
    </x:row>
    <x:row r="15" ht="48" customHeight="1">
      <x:c r="A15" s="36" t="str">
        <x:v>CART-AI-011</x:v>
      </x:c>
      <x:c r="B15" s="36" t="str">
        <x:v>AI Generated</x:v>
      </x:c>
      <x:c r="C15" s="36" t="str">
        <x:v>Price / valid partition</x:v>
      </x:c>
      <x:c r="D15" s="36" t="str">
        <x:v>Typical positive integer price</x:v>
      </x:c>
      <x:c r="E15" s="36" t="str">
        <x:v>{"id":3,"name":"MacBook Pro M3","price":45000000,"quantity":1}</x:v>
      </x:c>
      <x:c r="F15" s="36" t="str">
        <x:v>Valid user token</x:v>
      </x:c>
      <x:c r="G15" s="36" t="str">
        <x:v>200</x:v>
      </x:c>
      <x:c r="H15" s="36" t="str">
        <x:v>Item is added successfully</x:v>
      </x:c>
      <x:c r="I15" s="36" t="str">
        <x:v>Normal price domain</x:v>
      </x:c>
      <x:c r="J15" s="36" t="str">
        <x:v>VALID</x:v>
      </x:c>
      <x:c r="K15" s="36" t="str">
        <x:v>Normal positive price using the documented body shape.</x:v>
      </x:c>
      <x:c r="L15" s="36" t="str">
        <x:v>200 with documented success message.</x:v>
      </x:c>
      <x:c r="M15" s="36" t="str">
        <x:v>Automated Newman</x:v>
      </x:c>
      <x:c r="N15" s="36" t="str">
        <x:v>PASS</x:v>
      </x:c>
      <x:c r="O15" s="36" t="str">
        <x:v>Executed successfully; corrected/characterization assertions passed.</x:v>
      </x:c>
      <x:c r="P15" s="36" t="str"/>
      <x:c r="Q15" s="36" t="str">
        <x:v>api2_cart_ai_generated.md; api2_cart_audit.md</x:v>
      </x:c>
    </x:row>
    <x:row r="16" ht="48" customHeight="1">
      <x:c r="A16" s="36" t="str">
        <x:v>CART-AI-012</x:v>
      </x:c>
      <x:c r="B16" s="36" t="str">
        <x:v>AI Generated</x:v>
      </x:c>
      <x:c r="C16" s="36" t="str">
        <x:v>Price / boundary</x:v>
      </x:c>
      <x:c r="D16" s="36" t="str">
        <x:v>price = 0</x:v>
      </x:c>
      <x:c r="E16" s="36" t="str">
        <x:v>{"id":1,"name":"iPhone 15 Pro Max","price":0,"quantity":1}</x:v>
      </x:c>
      <x:c r="F16" s="36" t="str">
        <x:v>Valid user token</x:v>
      </x:c>
      <x:c r="G16" s="36" t="str">
        <x:v>4xx</x:v>
      </x:c>
      <x:c r="H16" s="36" t="str">
        <x:v>Request is rejected because price must be greater than 0</x:v>
      </x:c>
      <x:c r="I16" s="36" t="str">
        <x:v>AI assumes positive price requirement</x:v>
      </x:c>
      <x:c r="J16" s="36" t="str">
        <x:v>INCOMPLETE</x:v>
      </x:c>
      <x:c r="K16" s="36" t="str">
        <x:v>The AI invented `price &gt; 0`. No such rule appears in the supplied spec and the route performs no price validation.</x:v>
      </x:c>
      <x:c r="L16" s="36" t="str">
        <x:v>Retain as characterization; current implementation is expected to return 200.</x:v>
      </x:c>
      <x:c r="M16" s="36" t="str">
        <x:v>Automated Newman</x:v>
      </x:c>
      <x:c r="N16" s="36" t="str">
        <x:v>PASS</x:v>
      </x:c>
      <x:c r="O16" s="36" t="str">
        <x:v>Executed successfully; corrected/characterization assertions passed.</x:v>
      </x:c>
      <x:c r="P16" s="36" t="str"/>
      <x:c r="Q16" s="36" t="str">
        <x:v>api2_cart_ai_generated.md; api2_cart_audit.md</x:v>
      </x:c>
    </x:row>
    <x:row r="17" ht="48" customHeight="1">
      <x:c r="A17" s="36" t="str">
        <x:v>CART-AI-013</x:v>
      </x:c>
      <x:c r="B17" s="36" t="str">
        <x:v>AI Generated</x:v>
      </x:c>
      <x:c r="C17" s="36" t="str">
        <x:v>Price / invalid partition</x:v>
      </x:c>
      <x:c r="D17" s="36" t="str">
        <x:v>Negative price</x:v>
      </x:c>
      <x:c r="E17" s="36" t="str">
        <x:v>{"id":1,"name":"iPhone 15 Pro Max","price":-1000,"quantity":1}</x:v>
      </x:c>
      <x:c r="F17" s="36" t="str">
        <x:v>Valid user token</x:v>
      </x:c>
      <x:c r="G17" s="36" t="str">
        <x:v>4xx</x:v>
      </x:c>
      <x:c r="H17" s="36" t="str">
        <x:v>Request is rejected</x:v>
      </x:c>
      <x:c r="I17" s="36" t="str">
        <x:v>Negative domain partition</x:v>
      </x:c>
      <x:c r="J17" s="36" t="str">
        <x:v>INCOMPLETE</x:v>
      </x:c>
      <x:c r="K17" s="36" t="str">
        <x:v>Negative-price rejection is not specified or implemented.</x:v>
      </x:c>
      <x:c r="L17" s="36" t="str">
        <x:v>Retain as business-logic characterization; current implementation should return 200.</x:v>
      </x:c>
      <x:c r="M17" s="36" t="str">
        <x:v>Automated Newman</x:v>
      </x:c>
      <x:c r="N17" s="36" t="str">
        <x:v>PASS</x:v>
      </x:c>
      <x:c r="O17" s="36" t="str">
        <x:v>Executed successfully; corrected/characterization assertions passed.</x:v>
      </x:c>
      <x:c r="P17" s="36" t="str"/>
      <x:c r="Q17" s="36" t="str">
        <x:v>api2_cart_ai_generated.md; api2_cart_audit.md</x:v>
      </x:c>
    </x:row>
    <x:row r="18" ht="48" customHeight="1">
      <x:c r="A18" s="36" t="str">
        <x:v>CART-AI-014</x:v>
      </x:c>
      <x:c r="B18" s="36" t="str">
        <x:v>AI Generated</x:v>
      </x:c>
      <x:c r="C18" s="36" t="str">
        <x:v>Price / type</x:v>
      </x:c>
      <x:c r="D18" s="36" t="str">
        <x:v>Price as numeric string</x:v>
      </x:c>
      <x:c r="E18" s="36" t="str">
        <x:v>{"id":1,"name":"iPhone 15 Pro Max","price":"30000000","quantity":1}</x:v>
      </x:c>
      <x:c r="F18" s="36" t="str">
        <x:v>Valid user token</x:v>
      </x:c>
      <x:c r="G18" s="36" t="str">
        <x:v>4xx</x:v>
      </x:c>
      <x:c r="H18" s="36" t="str">
        <x:v>Request is rejected because price must be numeric</x:v>
      </x:c>
      <x:c r="I18" s="36" t="str">
        <x:v>Type partition</x:v>
      </x:c>
      <x:c r="J18" s="36" t="str">
        <x:v>INCOMPLETE</x:v>
      </x:c>
      <x:c r="K18" s="36" t="str">
        <x:v>The spec example uses a numeric price but does not define type validation or a 4xx response.</x:v>
      </x:c>
      <x:c r="L18" s="36" t="str">
        <x:v>Retain as type robustness; characterize actual behavior.</x:v>
      </x:c>
      <x:c r="M18" s="36" t="str">
        <x:v>Automated Newman</x:v>
      </x:c>
      <x:c r="N18" s="36" t="str">
        <x:v>PASS</x:v>
      </x:c>
      <x:c r="O18" s="36" t="str">
        <x:v>Executed successfully; corrected/characterization assertions passed.</x:v>
      </x:c>
      <x:c r="P18" s="36" t="str"/>
      <x:c r="Q18" s="36" t="str">
        <x:v>api2_cart_ai_generated.md; api2_cart_audit.md</x:v>
      </x:c>
    </x:row>
    <x:row r="19" ht="48" customHeight="1">
      <x:c r="A19" s="36" t="str">
        <x:v>CART-AI-015</x:v>
      </x:c>
      <x:c r="B19" s="36" t="str">
        <x:v>AI Generated</x:v>
      </x:c>
      <x:c r="C19" s="36" t="str">
        <x:v>Price / type</x:v>
      </x:c>
      <x:c r="D19" s="36" t="str">
        <x:v>Price as decimal</x:v>
      </x:c>
      <x:c r="E19" s="36" t="str">
        <x:v>{"id":1,"name":"iPhone 15 Pro Max","price":29999.99,"quantity":1}</x:v>
      </x:c>
      <x:c r="F19" s="36" t="str">
        <x:v>Valid user token</x:v>
      </x:c>
      <x:c r="G19" s="36" t="str">
        <x:v>200 or 4xx</x:v>
      </x:c>
      <x:c r="H19" s="36" t="str">
        <x:v>Behavior follows numeric-price rule and is documented</x:v>
      </x:c>
      <x:c r="I19" s="36" t="str">
        <x:v>Decimal partition</x:v>
      </x:c>
      <x:c r="J19" s="36" t="str">
        <x:v>INCOMPLETE</x:v>
      </x:c>
      <x:c r="K19" s="36" t="str">
        <x:v>The AI supplied two possible outcomes and the spec does not state whether prices must be integer-only.</x:v>
      </x:c>
      <x:c r="L19" s="36" t="str">
        <x:v>Retain as characterization; current implementation stores the decimal value and returns 200.</x:v>
      </x:c>
      <x:c r="M19" s="36" t="str">
        <x:v>Automated Newman</x:v>
      </x:c>
      <x:c r="N19" s="36" t="str">
        <x:v>PASS</x:v>
      </x:c>
      <x:c r="O19" s="36" t="str">
        <x:v>Executed successfully; corrected/characterization assertions passed.</x:v>
      </x:c>
      <x:c r="P19" s="36" t="str"/>
      <x:c r="Q19" s="36" t="str">
        <x:v>api2_cart_ai_generated.md; api2_cart_audit.md</x:v>
      </x:c>
    </x:row>
    <x:row r="20" ht="48" customHeight="1">
      <x:c r="A20" s="36" t="str">
        <x:v>CART-AI-016</x:v>
      </x:c>
      <x:c r="B20" s="36" t="str">
        <x:v>AI Generated</x:v>
      </x:c>
      <x:c r="C20" s="36" t="str">
        <x:v>Price / null</x:v>
      </x:c>
      <x:c r="D20" s="36" t="str">
        <x:v>price = null</x:v>
      </x:c>
      <x:c r="E20" s="36" t="str">
        <x:v>{"id":1,"name":"iPhone 15 Pro Max","price":null,"quantity":1}</x:v>
      </x:c>
      <x:c r="F20" s="36" t="str">
        <x:v>Valid user token</x:v>
      </x:c>
      <x:c r="G20" s="36" t="str">
        <x:v>4xx</x:v>
      </x:c>
      <x:c r="H20" s="36" t="str">
        <x:v>Request is rejected</x:v>
      </x:c>
      <x:c r="I20" s="36" t="str">
        <x:v>Null partition</x:v>
      </x:c>
      <x:c r="J20" s="36" t="str">
        <x:v>INCOMPLETE</x:v>
      </x:c>
      <x:c r="K20" s="36" t="str">
        <x:v>Null-price rejection is not specified and no validation exists.</x:v>
      </x:c>
      <x:c r="L20" s="36" t="str">
        <x:v>Retain as characterization; current implementation should return 200.</x:v>
      </x:c>
      <x:c r="M20" s="36" t="str">
        <x:v>Automated Newman</x:v>
      </x:c>
      <x:c r="N20" s="36" t="str">
        <x:v>PASS</x:v>
      </x:c>
      <x:c r="O20" s="36" t="str">
        <x:v>Executed successfully; corrected/characterization assertions passed.</x:v>
      </x:c>
      <x:c r="P20" s="36" t="str"/>
      <x:c r="Q20" s="36" t="str">
        <x:v>api2_cart_ai_generated.md; api2_cart_audit.md</x:v>
      </x:c>
    </x:row>
    <x:row r="21" ht="48" customHeight="1">
      <x:c r="A21" s="36" t="str">
        <x:v>CART-AI-017</x:v>
      </x:c>
      <x:c r="B21" s="36" t="str">
        <x:v>AI Generated</x:v>
      </x:c>
      <x:c r="C21" s="36" t="str">
        <x:v>Price / missing</x:v>
      </x:c>
      <x:c r="D21" s="36" t="str">
        <x:v>Omit price</x:v>
      </x:c>
      <x:c r="E21" s="36" t="str">
        <x:v>{"id":1,"name":"iPhone 15 Pro Max","quantity":1}</x:v>
      </x:c>
      <x:c r="F21" s="36" t="str">
        <x:v>Valid user token</x:v>
      </x:c>
      <x:c r="G21" s="36" t="str">
        <x:v>4xx</x:v>
      </x:c>
      <x:c r="H21" s="36" t="str">
        <x:v>Request is rejected</x:v>
      </x:c>
      <x:c r="I21" s="36" t="str">
        <x:v>Required-field partition</x:v>
      </x:c>
      <x:c r="J21" s="36" t="str">
        <x:v>INCOMPLETE</x:v>
      </x:c>
      <x:c r="K21" s="36" t="str">
        <x:v>Missing-price rejection is not formally defined in the supplied spec.</x:v>
      </x:c>
      <x:c r="L21" s="36" t="str">
        <x:v>Retain as characterization; current implementation should accept the partial body and return 200.</x:v>
      </x:c>
      <x:c r="M21" s="36" t="str">
        <x:v>Automated Newman</x:v>
      </x:c>
      <x:c r="N21" s="36" t="str">
        <x:v>PASS</x:v>
      </x:c>
      <x:c r="O21" s="36" t="str">
        <x:v>Executed successfully; corrected/characterization assertions passed.</x:v>
      </x:c>
      <x:c r="P21" s="36" t="str"/>
      <x:c r="Q21" s="36" t="str">
        <x:v>api2_cart_ai_generated.md; api2_cart_audit.md</x:v>
      </x:c>
    </x:row>
    <x:row r="22" ht="48" customHeight="1">
      <x:c r="A22" s="36" t="str">
        <x:v>CART-AI-018</x:v>
      </x:c>
      <x:c r="B22" s="36" t="str">
        <x:v>AI Generated</x:v>
      </x:c>
      <x:c r="C22" s="36" t="str">
        <x:v>Security / price tampering</x:v>
      </x:c>
      <x:c r="D22" s="36" t="str">
        <x:v>Use real product id/name but submit a much lower client price</x:v>
      </x:c>
      <x:c r="E22" s="36" t="str">
        <x:v>{"id":1,"name":"iPhone 15 Pro Max","price":1,"quantity":1}</x:v>
      </x:c>
      <x:c r="F22" s="36" t="str">
        <x:v>Valid user token</x:v>
      </x:c>
      <x:c r="G22" s="36" t="str">
        <x:v>4xx</x:v>
      </x:c>
      <x:c r="H22" s="36" t="str">
        <x:v>Server rejects manipulated price or uses canonical product price</x:v>
      </x:c>
      <x:c r="I22" s="36" t="str">
        <x:v>Business-logic tampering</x:v>
      </x:c>
      <x:c r="J22" s="36" t="str">
        <x:v>INCOMPLETE</x:v>
      </x:c>
      <x:c r="K22" s="36" t="str">
        <x:v>Price tampering is a valuable security/business-logic probe, but the spec does not say that the server must look up canonical product pricing.</x:v>
      </x:c>
      <x:c r="L22" s="36" t="str">
        <x:v>Retain as security characterization. Observe whether client-supplied price is stored unchanged; treat any defect claim as a requirement/security finding that needs explicit justification.</x:v>
      </x:c>
      <x:c r="M22" s="36" t="str">
        <x:v>Automated Newman</x:v>
      </x:c>
      <x:c r="N22" s="36" t="str">
        <x:v>PASS</x:v>
      </x:c>
      <x:c r="O22" s="36" t="str">
        <x:v>Executed successfully; corrected/characterization assertions passed.</x:v>
      </x:c>
      <x:c r="P22" s="36" t="str"/>
      <x:c r="Q22" s="36" t="str">
        <x:v>api2_cart_ai_generated.md; api2_cart_audit.md</x:v>
      </x:c>
    </x:row>
    <x:row r="23" ht="48" customHeight="1">
      <x:c r="A23" s="36" t="str">
        <x:v>CART-AI-019</x:v>
      </x:c>
      <x:c r="B23" s="36" t="str">
        <x:v>AI Generated</x:v>
      </x:c>
      <x:c r="C23" s="36" t="str">
        <x:v>Product id / valid partition</x:v>
      </x:c>
      <x:c r="D23" s="36" t="str">
        <x:v>Use an existing product id</x:v>
      </x:c>
      <x:c r="E23" s="36" t="str">
        <x:v>{"id":2,"name":"Samsung Galaxy S24 Ultra","price":28000000,"quantity":1}</x:v>
      </x:c>
      <x:c r="F23" s="36" t="str">
        <x:v>Valid user token</x:v>
      </x:c>
      <x:c r="G23" s="36" t="str">
        <x:v>200</x:v>
      </x:c>
      <x:c r="H23" s="36" t="str">
        <x:v>Item is added successfully</x:v>
      </x:c>
      <x:c r="I23" s="36" t="str">
        <x:v>Existing resource</x:v>
      </x:c>
      <x:c r="J23" s="36" t="str">
        <x:v>VALID</x:v>
      </x:c>
      <x:c r="K23" s="36" t="str">
        <x:v>Existing product id with the documented body shape is a normal positive case.</x:v>
      </x:c>
      <x:c r="L23" s="36" t="str">
        <x:v>200 with documented success message.</x:v>
      </x:c>
      <x:c r="M23" s="36" t="str">
        <x:v>Automated Newman</x:v>
      </x:c>
      <x:c r="N23" s="36" t="str">
        <x:v>PASS</x:v>
      </x:c>
      <x:c r="O23" s="36" t="str">
        <x:v>Executed successfully; corrected/characterization assertions passed.</x:v>
      </x:c>
      <x:c r="P23" s="36" t="str"/>
      <x:c r="Q23" s="36" t="str">
        <x:v>api2_cart_ai_generated.md; api2_cart_audit.md</x:v>
      </x:c>
    </x:row>
    <x:row r="24" ht="48" customHeight="1">
      <x:c r="A24" s="36" t="str">
        <x:v>CART-AI-020</x:v>
      </x:c>
      <x:c r="B24" s="36" t="str">
        <x:v>AI Generated</x:v>
      </x:c>
      <x:c r="C24" s="36" t="str">
        <x:v>Product id / invalid partition</x:v>
      </x:c>
      <x:c r="D24" s="36" t="str">
        <x:v>Use product id = 0</x:v>
      </x:c>
      <x:c r="E24" s="36" t="str">
        <x:v>{"id":0,"name":"Unknown","price":1000,"quantity":1}</x:v>
      </x:c>
      <x:c r="F24" s="36" t="str">
        <x:v>Valid user token</x:v>
      </x:c>
      <x:c r="G24" s="36" t="str">
        <x:v>4xx</x:v>
      </x:c>
      <x:c r="H24" s="36" t="str">
        <x:v>Request is rejected as invalid product</x:v>
      </x:c>
      <x:c r="I24" s="36" t="str">
        <x:v>ID boundary</x:v>
      </x:c>
      <x:c r="J24" s="36" t="str">
        <x:v>INCOMPLETE</x:v>
      </x:c>
      <x:c r="K24" s="36" t="str">
        <x:v>The AI assumed `id=0` must be rejected as an invalid product. The route never verifies product existence and the spec does not define this rule.</x:v>
      </x:c>
      <x:c r="L24" s="36" t="str">
        <x:v>Retain as characterization; current implementation is expected to return 200.</x:v>
      </x:c>
      <x:c r="M24" s="36" t="str">
        <x:v>Automated Newman</x:v>
      </x:c>
      <x:c r="N24" s="36" t="str">
        <x:v>PASS</x:v>
      </x:c>
      <x:c r="O24" s="36" t="str">
        <x:v>Executed successfully; corrected/characterization assertions passed.</x:v>
      </x:c>
      <x:c r="P24" s="36" t="str"/>
      <x:c r="Q24" s="36" t="str">
        <x:v>api2_cart_ai_generated.md; api2_cart_audit.md</x:v>
      </x:c>
    </x:row>
    <x:row r="25" ht="48" customHeight="1">
      <x:c r="A25" s="36" t="str">
        <x:v>CART-AI-021</x:v>
      </x:c>
      <x:c r="B25" s="36" t="str">
        <x:v>AI Generated</x:v>
      </x:c>
      <x:c r="C25" s="36" t="str">
        <x:v>Product id / invalid partition</x:v>
      </x:c>
      <x:c r="D25" s="36" t="str">
        <x:v>Use negative product id</x:v>
      </x:c>
      <x:c r="E25" s="36" t="str">
        <x:v>{"id":-1,"name":"Unknown","price":1000,"quantity":1}</x:v>
      </x:c>
      <x:c r="F25" s="36" t="str">
        <x:v>Valid user token</x:v>
      </x:c>
      <x:c r="G25" s="36" t="str">
        <x:v>4xx</x:v>
      </x:c>
      <x:c r="H25" s="36" t="str">
        <x:v>Request is rejected as invalid product</x:v>
      </x:c>
      <x:c r="I25" s="36" t="str">
        <x:v>Negative ID</x:v>
      </x:c>
      <x:c r="J25" s="36" t="str">
        <x:v>INCOMPLETE</x:v>
      </x:c>
      <x:c r="K25" s="36" t="str">
        <x:v>Negative product-id rejection is not specified or implemented.</x:v>
      </x:c>
      <x:c r="L25" s="36" t="str">
        <x:v>Retain as characterization; current implementation should return 200.</x:v>
      </x:c>
      <x:c r="M25" s="36" t="str">
        <x:v>Automated Newman</x:v>
      </x:c>
      <x:c r="N25" s="36" t="str">
        <x:v>PASS</x:v>
      </x:c>
      <x:c r="O25" s="36" t="str">
        <x:v>Executed successfully; corrected/characterization assertions passed.</x:v>
      </x:c>
      <x:c r="P25" s="36" t="str"/>
      <x:c r="Q25" s="36" t="str">
        <x:v>api2_cart_ai_generated.md; api2_cart_audit.md</x:v>
      </x:c>
    </x:row>
    <x:row r="26" ht="48" customHeight="1">
      <x:c r="A26" s="36" t="str">
        <x:v>CART-AI-022</x:v>
      </x:c>
      <x:c r="B26" s="36" t="str">
        <x:v>AI Generated</x:v>
      </x:c>
      <x:c r="C26" s="36" t="str">
        <x:v>Product id / state</x:v>
      </x:c>
      <x:c r="D26" s="36" t="str">
        <x:v>Use a non-existing large product id</x:v>
      </x:c>
      <x:c r="E26" s="36" t="str">
        <x:v>{"id":999999,"name":"Ghost Product","price":1000,"quantity":1}</x:v>
      </x:c>
      <x:c r="F26" s="36" t="str">
        <x:v>Valid user token</x:v>
      </x:c>
      <x:c r="G26" s="36" t="str">
        <x:v>404 or 4xx</x:v>
      </x:c>
      <x:c r="H26" s="36" t="str">
        <x:v>Request is rejected because product does not exist</x:v>
      </x:c>
      <x:c r="I26" s="36" t="str">
        <x:v>Resource-existence validation</x:v>
      </x:c>
      <x:c r="J26" s="36" t="str">
        <x:v>INVALID</x:v>
      </x:c>
      <x:c r="K26" s="36" t="str">
        <x:v>The AI invented a resource-existence requirement and `404` oracle for cart addition. The supplied spec does not state product lookup/validation for this endpoint.</x:v>
      </x:c>
      <x:c r="L26" s="36" t="str">
        <x:v>Reframe as business-logic characterization. Current implementation is expected to accept the non-existing id and return 200.</x:v>
      </x:c>
      <x:c r="M26" s="36" t="str">
        <x:v>Automated Newman</x:v>
      </x:c>
      <x:c r="N26" s="36" t="str">
        <x:v>PASS</x:v>
      </x:c>
      <x:c r="O26" s="36" t="str">
        <x:v>Executed successfully; corrected/characterization assertions passed.</x:v>
      </x:c>
      <x:c r="P26" s="36" t="str"/>
      <x:c r="Q26" s="36" t="str">
        <x:v>api2_cart_ai_generated.md; api2_cart_audit.md</x:v>
      </x:c>
    </x:row>
    <x:row r="27" ht="48" customHeight="1">
      <x:c r="A27" s="36" t="str">
        <x:v>CART-AI-023</x:v>
      </x:c>
      <x:c r="B27" s="36" t="str">
        <x:v>AI Generated</x:v>
      </x:c>
      <x:c r="C27" s="36" t="str">
        <x:v>Product id / type</x:v>
      </x:c>
      <x:c r="D27" s="36" t="str">
        <x:v>Use string product id</x:v>
      </x:c>
      <x:c r="E27" s="36" t="str">
        <x:v>{"id":"1","name":"iPhone 15 Pro Max","price":30000000,"quantity":1}</x:v>
      </x:c>
      <x:c r="F27" s="36" t="str">
        <x:v>Valid user token</x:v>
      </x:c>
      <x:c r="G27" s="36" t="str">
        <x:v>4xx</x:v>
      </x:c>
      <x:c r="H27" s="36" t="str">
        <x:v>Request is rejected because id should be numeric</x:v>
      </x:c>
      <x:c r="I27" s="36" t="str">
        <x:v>Type partition</x:v>
      </x:c>
      <x:c r="J27" s="36" t="str">
        <x:v>INCOMPLETE</x:v>
      </x:c>
      <x:c r="K27" s="36" t="str">
        <x:v>Numeric-only id validation is not defined in the supplied spec.</x:v>
      </x:c>
      <x:c r="L27" s="36" t="str">
        <x:v>Retain as type robustness; current implementation should store the string id and return 200.</x:v>
      </x:c>
      <x:c r="M27" s="36" t="str">
        <x:v>Automated Newman</x:v>
      </x:c>
      <x:c r="N27" s="36" t="str">
        <x:v>PASS</x:v>
      </x:c>
      <x:c r="O27" s="36" t="str">
        <x:v>Executed successfully; corrected/characterization assertions passed.</x:v>
      </x:c>
      <x:c r="P27" s="36" t="str"/>
      <x:c r="Q27" s="36" t="str">
        <x:v>api2_cart_ai_generated.md; api2_cart_audit.md</x:v>
      </x:c>
    </x:row>
    <x:row r="28" ht="48" customHeight="1">
      <x:c r="A28" s="36" t="str">
        <x:v>CART-AI-024</x:v>
      </x:c>
      <x:c r="B28" s="36" t="str">
        <x:v>AI Generated</x:v>
      </x:c>
      <x:c r="C28" s="36" t="str">
        <x:v>Product id / null</x:v>
      </x:c>
      <x:c r="D28" s="36" t="str">
        <x:v>id = null</x:v>
      </x:c>
      <x:c r="E28" s="36" t="str">
        <x:v>{"id":null,"name":"iPhone 15 Pro Max","price":30000000,"quantity":1}</x:v>
      </x:c>
      <x:c r="F28" s="36" t="str">
        <x:v>Valid user token</x:v>
      </x:c>
      <x:c r="G28" s="36" t="str">
        <x:v>4xx</x:v>
      </x:c>
      <x:c r="H28" s="36" t="str">
        <x:v>Request is rejected</x:v>
      </x:c>
      <x:c r="I28" s="36" t="str">
        <x:v>Null partition</x:v>
      </x:c>
      <x:c r="J28" s="36" t="str">
        <x:v>INCOMPLETE</x:v>
      </x:c>
      <x:c r="K28" s="36" t="str">
        <x:v>Null-id rejection is not specified.</x:v>
      </x:c>
      <x:c r="L28" s="36" t="str">
        <x:v>Retain as characterization; current implementation should return 200.</x:v>
      </x:c>
      <x:c r="M28" s="36" t="str">
        <x:v>Automated Newman</x:v>
      </x:c>
      <x:c r="N28" s="36" t="str">
        <x:v>PASS</x:v>
      </x:c>
      <x:c r="O28" s="36" t="str">
        <x:v>Executed successfully; corrected/characterization assertions passed.</x:v>
      </x:c>
      <x:c r="P28" s="36" t="str"/>
      <x:c r="Q28" s="36" t="str">
        <x:v>api2_cart_ai_generated.md; api2_cart_audit.md</x:v>
      </x:c>
    </x:row>
    <x:row r="29" ht="48" customHeight="1">
      <x:c r="A29" s="36" t="str">
        <x:v>CART-AI-025</x:v>
      </x:c>
      <x:c r="B29" s="36" t="str">
        <x:v>AI Generated</x:v>
      </x:c>
      <x:c r="C29" s="36" t="str">
        <x:v>Product id / missing</x:v>
      </x:c>
      <x:c r="D29" s="36" t="str">
        <x:v>Omit id</x:v>
      </x:c>
      <x:c r="E29" s="36" t="str">
        <x:v>{"name":"iPhone 15 Pro Max","price":30000000,"quantity":1}</x:v>
      </x:c>
      <x:c r="F29" s="36" t="str">
        <x:v>Valid user token</x:v>
      </x:c>
      <x:c r="G29" s="36" t="str">
        <x:v>4xx</x:v>
      </x:c>
      <x:c r="H29" s="36" t="str">
        <x:v>Request is rejected</x:v>
      </x:c>
      <x:c r="I29" s="36" t="str">
        <x:v>Required-field partition</x:v>
      </x:c>
      <x:c r="J29" s="36" t="str">
        <x:v>INCOMPLETE</x:v>
      </x:c>
      <x:c r="K29" s="36" t="str">
        <x:v>Missing-id rejection is not formally specified.</x:v>
      </x:c>
      <x:c r="L29" s="36" t="str">
        <x:v>Retain as characterization; current implementation should return 200.</x:v>
      </x:c>
      <x:c r="M29" s="36" t="str">
        <x:v>Automated Newman</x:v>
      </x:c>
      <x:c r="N29" s="36" t="str">
        <x:v>PASS</x:v>
      </x:c>
      <x:c r="O29" s="36" t="str">
        <x:v>Executed successfully; corrected/characterization assertions passed.</x:v>
      </x:c>
      <x:c r="P29" s="36" t="str"/>
      <x:c r="Q29" s="36" t="str">
        <x:v>api2_cart_ai_generated.md; api2_cart_audit.md</x:v>
      </x:c>
    </x:row>
    <x:row r="30" ht="48" customHeight="1">
      <x:c r="A30" s="36" t="str">
        <x:v>CART-AI-026</x:v>
      </x:c>
      <x:c r="B30" s="36" t="str">
        <x:v>AI Generated</x:v>
      </x:c>
      <x:c r="C30" s="36" t="str">
        <x:v>Name / valid partition</x:v>
      </x:c>
      <x:c r="D30" s="36" t="str">
        <x:v>Vietnamese Unicode product name</x:v>
      </x:c>
      <x:c r="E30" s="36" t="str">
        <x:v>{"id":1,"name":"Điện thoại cao cấp","price":30000000,"quantity":1}</x:v>
      </x:c>
      <x:c r="F30" s="36" t="str">
        <x:v>Valid user token</x:v>
      </x:c>
      <x:c r="G30" s="36" t="str">
        <x:v>200 or 4xx</x:v>
      </x:c>
      <x:c r="H30" s="36" t="str">
        <x:v>Name is safely handled and canonical consistency is preserved</x:v>
      </x:c>
      <x:c r="I30" s="36" t="str">
        <x:v>Unicode text</x:v>
      </x:c>
      <x:c r="J30" s="36" t="str">
        <x:v>INCOMPLETE</x:v>
      </x:c>
      <x:c r="K30" s="36" t="str">
        <x:v>Unicode handling is useful, but the AI mixed it with an unsupported assumption about canonical name consistency.</x:v>
      </x:c>
      <x:c r="L30" s="36" t="str">
        <x:v>Retain the Unicode aspect; current implementation should return 200 and store the supplied name literally.</x:v>
      </x:c>
      <x:c r="M30" s="36" t="str">
        <x:v>Automated Newman</x:v>
      </x:c>
      <x:c r="N30" s="36" t="str">
        <x:v>PASS</x:v>
      </x:c>
      <x:c r="O30" s="36" t="str">
        <x:v>Executed successfully; corrected/characterization assertions passed.</x:v>
      </x:c>
      <x:c r="P30" s="36" t="str"/>
      <x:c r="Q30" s="36" t="str">
        <x:v>api2_cart_ai_generated.md; api2_cart_audit.md</x:v>
      </x:c>
    </x:row>
    <x:row r="31" ht="48" customHeight="1">
      <x:c r="A31" s="36" t="str">
        <x:v>CART-AI-027</x:v>
      </x:c>
      <x:c r="B31" s="36" t="str">
        <x:v>AI Generated</x:v>
      </x:c>
      <x:c r="C31" s="36" t="str">
        <x:v>Name / invalid partition</x:v>
      </x:c>
      <x:c r="D31" s="36" t="str">
        <x:v>Empty product name</x:v>
      </x:c>
      <x:c r="E31" s="36" t="str">
        <x:v>{"id":1,"name":"","price":30000000,"quantity":1}</x:v>
      </x:c>
      <x:c r="F31" s="36" t="str">
        <x:v>Valid user token</x:v>
      </x:c>
      <x:c r="G31" s="36" t="str">
        <x:v>4xx</x:v>
      </x:c>
      <x:c r="H31" s="36" t="str">
        <x:v>Request is rejected</x:v>
      </x:c>
      <x:c r="I31" s="36" t="str">
        <x:v>AI assumes non-empty name</x:v>
      </x:c>
      <x:c r="J31" s="36" t="str">
        <x:v>INCOMPLETE</x:v>
      </x:c>
      <x:c r="K31" s="36" t="str">
        <x:v>Non-empty product-name validation is not stated or implemented.</x:v>
      </x:c>
      <x:c r="L31" s="36" t="str">
        <x:v>Retain as characterization; current implementation should return 200.</x:v>
      </x:c>
      <x:c r="M31" s="36" t="str">
        <x:v>Automated Newman</x:v>
      </x:c>
      <x:c r="N31" s="36" t="str">
        <x:v>PASS</x:v>
      </x:c>
      <x:c r="O31" s="36" t="str">
        <x:v>Executed successfully; corrected/characterization assertions passed.</x:v>
      </x:c>
      <x:c r="P31" s="36" t="str"/>
      <x:c r="Q31" s="36" t="str">
        <x:v>api2_cart_ai_generated.md; api2_cart_audit.md</x:v>
      </x:c>
    </x:row>
    <x:row r="32" ht="48" customHeight="1">
      <x:c r="A32" s="36" t="str">
        <x:v>CART-AI-028</x:v>
      </x:c>
      <x:c r="B32" s="36" t="str">
        <x:v>AI Generated</x:v>
      </x:c>
      <x:c r="C32" s="36" t="str">
        <x:v>Name / invalid partition</x:v>
      </x:c>
      <x:c r="D32" s="36" t="str">
        <x:v>Whitespace-only product name</x:v>
      </x:c>
      <x:c r="E32" s="36" t="str">
        <x:v>{"id":1,"name":"   ","price":30000000,"quantity":1}</x:v>
      </x:c>
      <x:c r="F32" s="36" t="str">
        <x:v>Valid user token</x:v>
      </x:c>
      <x:c r="G32" s="36" t="str">
        <x:v>4xx</x:v>
      </x:c>
      <x:c r="H32" s="36" t="str">
        <x:v>Request is rejected</x:v>
      </x:c>
      <x:c r="I32" s="36" t="str">
        <x:v>Blank-string partition</x:v>
      </x:c>
      <x:c r="J32" s="36" t="str">
        <x:v>INCOMPLETE</x:v>
      </x:c>
      <x:c r="K32" s="36" t="str">
        <x:v>Whitespace-name rejection is not stated or implemented.</x:v>
      </x:c>
      <x:c r="L32" s="36" t="str">
        <x:v>Retain as characterization; current implementation should return 200.</x:v>
      </x:c>
      <x:c r="M32" s="36" t="str">
        <x:v>Automated Newman</x:v>
      </x:c>
      <x:c r="N32" s="36" t="str">
        <x:v>PASS</x:v>
      </x:c>
      <x:c r="O32" s="36" t="str">
        <x:v>Executed successfully; corrected/characterization assertions passed.</x:v>
      </x:c>
      <x:c r="P32" s="36" t="str"/>
      <x:c r="Q32" s="36" t="str">
        <x:v>api2_cart_ai_generated.md; api2_cart_audit.md</x:v>
      </x:c>
    </x:row>
    <x:row r="33" ht="48" customHeight="1">
      <x:c r="A33" s="36" t="str">
        <x:v>CART-AI-029</x:v>
      </x:c>
      <x:c r="B33" s="36" t="str">
        <x:v>AI Generated</x:v>
      </x:c>
      <x:c r="C33" s="36" t="str">
        <x:v>Name / missing</x:v>
      </x:c>
      <x:c r="D33" s="36" t="str">
        <x:v>Omit name</x:v>
      </x:c>
      <x:c r="E33" s="36" t="str">
        <x:v>{"id":1,"price":30000000,"quantity":1}</x:v>
      </x:c>
      <x:c r="F33" s="36" t="str">
        <x:v>Valid user token</x:v>
      </x:c>
      <x:c r="G33" s="36" t="str">
        <x:v>4xx</x:v>
      </x:c>
      <x:c r="H33" s="36" t="str">
        <x:v>Request is rejected</x:v>
      </x:c>
      <x:c r="I33" s="36" t="str">
        <x:v>Required-field partition</x:v>
      </x:c>
      <x:c r="J33" s="36" t="str">
        <x:v>INCOMPLETE</x:v>
      </x:c>
      <x:c r="K33" s="36" t="str">
        <x:v>Missing-name rejection is not formally stated in the supplied spec.</x:v>
      </x:c>
      <x:c r="L33" s="36" t="str">
        <x:v>Retain as characterization; current implementation should return 200.</x:v>
      </x:c>
      <x:c r="M33" s="36" t="str">
        <x:v>Automated Newman</x:v>
      </x:c>
      <x:c r="N33" s="36" t="str">
        <x:v>PASS</x:v>
      </x:c>
      <x:c r="O33" s="36" t="str">
        <x:v>Executed successfully; corrected/characterization assertions passed.</x:v>
      </x:c>
      <x:c r="P33" s="36" t="str"/>
      <x:c r="Q33" s="36" t="str">
        <x:v>api2_cart_ai_generated.md; api2_cart_audit.md</x:v>
      </x:c>
    </x:row>
    <x:row r="34" ht="48" customHeight="1">
      <x:c r="A34" s="36" t="str">
        <x:v>CART-AI-030</x:v>
      </x:c>
      <x:c r="B34" s="36" t="str">
        <x:v>AI Generated</x:v>
      </x:c>
      <x:c r="C34" s="36" t="str">
        <x:v>Security / product tampering</x:v>
      </x:c>
      <x:c r="D34" s="36" t="str">
        <x:v>Use a real product id but falsify the product name</x:v>
      </x:c>
      <x:c r="E34" s="36" t="str">
        <x:v>{"id":1,"name":"Attacker Controlled Name","price":30000000,"quantity":1}</x:v>
      </x:c>
      <x:c r="F34" s="36" t="str">
        <x:v>Valid user token</x:v>
      </x:c>
      <x:c r="G34" s="36" t="str">
        <x:v>4xx or canonicalized</x:v>
      </x:c>
      <x:c r="H34" s="36" t="str">
        <x:v>Server must not trust manipulated product metadata</x:v>
      </x:c>
      <x:c r="I34" s="36" t="str">
        <x:v>Business-logic integrity</x:v>
      </x:c>
      <x:c r="J34" s="36" t="str">
        <x:v>INCOMPLETE</x:v>
      </x:c>
      <x:c r="K34" s="36" t="str">
        <x:v>The tampering objective is valuable, but the spec does not require canonical product metadata lookup. The route trusts the submitted body.</x:v>
      </x:c>
      <x:c r="L34" s="36" t="str">
        <x:v>Retain as business-logic/security characterization; observe literal storage and avoid inventing a 4xx oracle.</x:v>
      </x:c>
      <x:c r="M34" s="36" t="str">
        <x:v>Automated Newman</x:v>
      </x:c>
      <x:c r="N34" s="36" t="str">
        <x:v>PASS</x:v>
      </x:c>
      <x:c r="O34" s="36" t="str">
        <x:v>Executed successfully; corrected/characterization assertions passed.</x:v>
      </x:c>
      <x:c r="P34" s="36" t="str"/>
      <x:c r="Q34" s="36" t="str">
        <x:v>api2_cart_ai_generated.md; api2_cart_audit.md</x:v>
      </x:c>
    </x:row>
    <x:row r="35" ht="48" customHeight="1">
      <x:c r="A35" s="36" t="str">
        <x:v>CART-AI-031</x:v>
      </x:c>
      <x:c r="B35" s="36" t="str">
        <x:v>AI Generated</x:v>
      </x:c>
      <x:c r="C35" s="36" t="str">
        <x:v>Authentication</x:v>
      </x:c>
      <x:c r="D35" s="36" t="str">
        <x:v>No Authorization header</x:v>
      </x:c>
      <x:c r="E35" s="36" t="str">
        <x:v>{"id":1,"name":"iPhone 15 Pro Max","price":30000000,"quantity":1}</x:v>
      </x:c>
      <x:c r="F35" s="36" t="str">
        <x:v>No token</x:v>
      </x:c>
      <x:c r="G35" s="36" t="str">
        <x:v>401</x:v>
      </x:c>
      <x:c r="H35" s="36" t="str">
        <x:v>Response contains Unauthorized error</x:v>
      </x:c>
      <x:c r="I35" s="36" t="str">
        <x:v>authenticateToken missing-token path</x:v>
      </x:c>
      <x:c r="J35" s="36" t="str">
        <x:v>VALID</x:v>
      </x:c>
      <x:c r="K35" s="36" t="str">
        <x:v>The middleware explicitly returns 401 when no token is present.</x:v>
      </x:c>
      <x:c r="L35" s="36" t="str">
        <x:v>401 with `{error: "Unauthorized"}`.</x:v>
      </x:c>
      <x:c r="M35" s="36" t="str">
        <x:v>Automated Newman</x:v>
      </x:c>
      <x:c r="N35" s="36" t="str">
        <x:v>PASS</x:v>
      </x:c>
      <x:c r="O35" s="36" t="str">
        <x:v>Executed successfully; corrected/characterization assertions passed.</x:v>
      </x:c>
      <x:c r="P35" s="36" t="str"/>
      <x:c r="Q35" s="36" t="str">
        <x:v>api2_cart_ai_generated.md; api2_cart_audit.md</x:v>
      </x:c>
    </x:row>
    <x:row r="36" ht="48" customHeight="1">
      <x:c r="A36" s="36" t="str">
        <x:v>CART-AI-032</x:v>
      </x:c>
      <x:c r="B36" s="36" t="str">
        <x:v>AI Generated</x:v>
      </x:c>
      <x:c r="C36" s="36" t="str">
        <x:v>Authentication</x:v>
      </x:c>
      <x:c r="D36" s="36" t="str">
        <x:v>Authorization header contains `Bearer` but no token</x:v>
      </x:c>
      <x:c r="E36" s="36" t="str">
        <x:v>{"id":1,"name":"iPhone 15 Pro Max","price":30000000,"quantity":1}</x:v>
      </x:c>
      <x:c r="F36" s="36" t="str">
        <x:v>`Authorization: Bearer`</x:v>
      </x:c>
      <x:c r="G36" s="36" t="str">
        <x:v>401</x:v>
      </x:c>
      <x:c r="H36" s="36" t="str">
        <x:v>Response contains Unauthorized error</x:v>
      </x:c>
      <x:c r="I36" s="36" t="str">
        <x:v>Missing token after scheme</x:v>
      </x:c>
      <x:c r="J36" s="36" t="str">
        <x:v>VALID</x:v>
      </x:c>
      <x:c r="K36" s="36" t="str">
        <x:v>`Authorization: Bearer` produces no usable second token; middleware follows its missing-token path.</x:v>
      </x:c>
      <x:c r="L36" s="36" t="str">
        <x:v>401 with `{error: "Unauthorized"}`.</x:v>
      </x:c>
      <x:c r="M36" s="36" t="str">
        <x:v>Automated Newman</x:v>
      </x:c>
      <x:c r="N36" s="36" t="str">
        <x:v>PASS</x:v>
      </x:c>
      <x:c r="O36" s="36" t="str">
        <x:v>Executed successfully; corrected/characterization assertions passed.</x:v>
      </x:c>
      <x:c r="P36" s="36" t="str"/>
      <x:c r="Q36" s="36" t="str">
        <x:v>api2_cart_ai_generated.md; api2_cart_audit.md</x:v>
      </x:c>
    </x:row>
    <x:row r="37" ht="48" customHeight="1">
      <x:c r="A37" s="36" t="str">
        <x:v>CART-AI-033</x:v>
      </x:c>
      <x:c r="B37" s="36" t="str">
        <x:v>AI Generated</x:v>
      </x:c>
      <x:c r="C37" s="36" t="str">
        <x:v>Authentication</x:v>
      </x:c>
      <x:c r="D37" s="36" t="str">
        <x:v>Malformed random bearer token</x:v>
      </x:c>
      <x:c r="E37" s="36" t="str">
        <x:v>{"id":1,"name":"iPhone 15 Pro Max","price":30000000,"quantity":1}</x:v>
      </x:c>
      <x:c r="F37" s="36" t="str">
        <x:v>`Bearer not-a-jwt`</x:v>
      </x:c>
      <x:c r="G37" s="36" t="str">
        <x:v>403</x:v>
      </x:c>
      <x:c r="H37" s="36" t="str">
        <x:v>Response contains Forbidden error</x:v>
      </x:c>
      <x:c r="I37" s="36" t="str">
        <x:v>Invalid JWT path</x:v>
      </x:c>
      <x:c r="J37" s="36" t="str">
        <x:v>VALID</x:v>
      </x:c>
      <x:c r="K37" s="36" t="str">
        <x:v>Malformed random JWT reaches `jwt.verify` and the middleware explicitly returns 403 on verification error.</x:v>
      </x:c>
      <x:c r="L37" s="36" t="str">
        <x:v>403 with `{error: "Forbidden"}`.</x:v>
      </x:c>
      <x:c r="M37" s="36" t="str">
        <x:v>Automated Newman</x:v>
      </x:c>
      <x:c r="N37" s="36" t="str">
        <x:v>PASS</x:v>
      </x:c>
      <x:c r="O37" s="36" t="str">
        <x:v>Executed successfully; corrected/characterization assertions passed.</x:v>
      </x:c>
      <x:c r="P37" s="36" t="str"/>
      <x:c r="Q37" s="36" t="str">
        <x:v>api2_cart_ai_generated.md; api2_cart_audit.md</x:v>
      </x:c>
    </x:row>
    <x:row r="38" ht="48" customHeight="1">
      <x:c r="A38" s="36" t="str">
        <x:v>CART-AI-034</x:v>
      </x:c>
      <x:c r="B38" s="36" t="str">
        <x:v>AI Generated</x:v>
      </x:c>
      <x:c r="C38" s="36" t="str">
        <x:v>Authentication / security</x:v>
      </x:c>
      <x:c r="D38" s="36" t="str">
        <x:v>Tamper one character of an otherwise valid JWT</x:v>
      </x:c>
      <x:c r="E38" s="36" t="str">
        <x:v>{"id":1,"name":"iPhone 15 Pro Max","price":30000000,"quantity":1}</x:v>
      </x:c>
      <x:c r="F38" s="36" t="str">
        <x:v>Tampered bearer token</x:v>
      </x:c>
      <x:c r="G38" s="36" t="str">
        <x:v>403</x:v>
      </x:c>
      <x:c r="H38" s="36" t="str">
        <x:v>Request is forbidden; cart is not modified</x:v>
      </x:c>
      <x:c r="I38" s="36" t="str">
        <x:v>JWT integrity</x:v>
      </x:c>
      <x:c r="J38" s="36" t="str">
        <x:v>VALID</x:v>
      </x:c>
      <x:c r="K38" s="36" t="str">
        <x:v>JWT signature tampering should fail verification and maps directly to the middleware's 403 path.</x:v>
      </x:c>
      <x:c r="L38" s="36" t="str">
        <x:v>403 with `{error: "Forbidden"}`; cart must not be modified.</x:v>
      </x:c>
      <x:c r="M38" s="36" t="str">
        <x:v>Automated Newman</x:v>
      </x:c>
      <x:c r="N38" s="36" t="str">
        <x:v>PASS</x:v>
      </x:c>
      <x:c r="O38" s="36" t="str">
        <x:v>Executed successfully; corrected/characterization assertions passed.</x:v>
      </x:c>
      <x:c r="P38" s="36" t="str"/>
      <x:c r="Q38" s="36" t="str">
        <x:v>api2_cart_ai_generated.md; api2_cart_audit.md</x:v>
      </x:c>
    </x:row>
    <x:row r="39" ht="48" customHeight="1">
      <x:c r="A39" s="36" t="str">
        <x:v>CART-AI-035</x:v>
      </x:c>
      <x:c r="B39" s="36" t="str">
        <x:v>AI Generated</x:v>
      </x:c>
      <x:c r="C39" s="36" t="str">
        <x:v>Authentication / scheme</x:v>
      </x:c>
      <x:c r="D39" s="36" t="str">
        <x:v>Use Basic authentication instead of Bearer</x:v>
      </x:c>
      <x:c r="E39" s="36" t="str">
        <x:v>{"id":1,"name":"iPhone 15 Pro Max","price":30000000,"quantity":1}</x:v>
      </x:c>
      <x:c r="F39" s="36" t="str">
        <x:v>`Authorization: Basic abc`</x:v>
      </x:c>
      <x:c r="G39" s="36" t="str">
        <x:v>403</x:v>
      </x:c>
      <x:c r="H39" s="36" t="str">
        <x:v>Request is forbidden</x:v>
      </x:c>
      <x:c r="I39" s="36" t="str">
        <x:v>Authentication scheme robustness</x:v>
      </x:c>
      <x:c r="J39" s="36" t="str">
        <x:v>VALID</x:v>
      </x:c>
      <x:c r="K39" s="36" t="str">
        <x:v>With `Authorization: Basic abc`, the middleware still extracts `abc` as the token and `jwt.verify` fails.</x:v>
      </x:c>
      <x:c r="L39" s="36" t="str">
        <x:v>403 with `{error: "Forbidden"}`. Note that the middleware does not validate the Bearer scheme explicitly.</x:v>
      </x:c>
      <x:c r="M39" s="36" t="str">
        <x:v>Automated Newman</x:v>
      </x:c>
      <x:c r="N39" s="36" t="str">
        <x:v>PASS</x:v>
      </x:c>
      <x:c r="O39" s="36" t="str">
        <x:v>Executed successfully; corrected/characterization assertions passed.</x:v>
      </x:c>
      <x:c r="P39" s="36" t="str"/>
      <x:c r="Q39" s="36" t="str">
        <x:v>api2_cart_ai_generated.md; api2_cart_audit.md</x:v>
      </x:c>
    </x:row>
    <x:row r="40" ht="48" customHeight="1">
      <x:c r="A40" s="36" t="str">
        <x:v>CART-AI-036</x:v>
      </x:c>
      <x:c r="B40" s="36" t="str">
        <x:v>AI Generated</x:v>
      </x:c>
      <x:c r="C40" s="36" t="str">
        <x:v>Body / robustness</x:v>
      </x:c>
      <x:c r="D40" s="36" t="str">
        <x:v>Empty JSON object</x:v>
      </x:c>
      <x:c r="E40" s="36" t="str">
        <x:v>{}</x:v>
      </x:c>
      <x:c r="F40" s="36" t="str">
        <x:v>Valid user token</x:v>
      </x:c>
      <x:c r="G40" s="36" t="str">
        <x:v>4xx</x:v>
      </x:c>
      <x:c r="H40" s="36" t="str">
        <x:v>Request is rejected due to missing cart fields</x:v>
      </x:c>
      <x:c r="I40" s="36" t="str">
        <x:v>Body schema</x:v>
      </x:c>
      <x:c r="J40" s="36" t="str">
        <x:v>INCOMPLETE</x:v>
      </x:c>
      <x:c r="K40" s="36" t="str">
        <x:v>The AI assumed an empty object must be rejected. The route pushes any body and the spec has no explicit required-field/rejection rule.</x:v>
      </x:c>
      <x:c r="L40" s="36" t="str">
        <x:v>Retain as characterization; current implementation is expected to return 200.</x:v>
      </x:c>
      <x:c r="M40" s="36" t="str">
        <x:v>Automated Newman</x:v>
      </x:c>
      <x:c r="N40" s="36" t="str">
        <x:v>PASS</x:v>
      </x:c>
      <x:c r="O40" s="36" t="str">
        <x:v>Executed successfully; corrected/characterization assertions passed.</x:v>
      </x:c>
      <x:c r="P40" s="36" t="str"/>
      <x:c r="Q40" s="36" t="str">
        <x:v>api2_cart_ai_generated.md; api2_cart_audit.md</x:v>
      </x:c>
    </x:row>
    <x:row r="41" ht="48" customHeight="1">
      <x:c r="A41" s="36" t="str">
        <x:v>CART-AI-037</x:v>
      </x:c>
      <x:c r="B41" s="36" t="str">
        <x:v>AI Generated</x:v>
      </x:c>
      <x:c r="C41" s="36" t="str">
        <x:v>Body / parser robustness</x:v>
      </x:c>
      <x:c r="D41" s="36" t="str">
        <x:v>Malformed JSON</x:v>
      </x:c>
      <x:c r="E41" s="36" t="str">
        <x:v>{"id":1,"name":"iPhone 15 Pro Max","price":30000000,"quantity":1</x:v>
      </x:c>
      <x:c r="F41" s="36" t="str">
        <x:v>Valid user token</x:v>
      </x:c>
      <x:c r="G41" s="36" t="str">
        <x:v>400</x:v>
      </x:c>
      <x:c r="H41" s="36" t="str">
        <x:v>Malformed JSON is rejected; server remains available</x:v>
      </x:c>
      <x:c r="I41" s="36" t="str">
        <x:v>JSON parser robustness</x:v>
      </x:c>
      <x:c r="J41" s="36" t="str">
        <x:v>VALID</x:v>
      </x:c>
      <x:c r="K41" s="36" t="str">
        <x:v>Malformed JSON is rejected by the JSON parser before normal route processing; this is a valid protocol robustness case.</x:v>
      </x:c>
      <x:c r="L41" s="36" t="str">
        <x:v>400 parser error; server remains available.</x:v>
      </x:c>
      <x:c r="M41" s="36" t="str">
        <x:v>Automated Newman</x:v>
      </x:c>
      <x:c r="N41" s="36" t="str">
        <x:v>PASS</x:v>
      </x:c>
      <x:c r="O41" s="36" t="str">
        <x:v>Executed successfully; corrected/characterization assertions passed.</x:v>
      </x:c>
      <x:c r="P41" s="36" t="str"/>
      <x:c r="Q41" s="36" t="str">
        <x:v>api2_cart_ai_generated.md; api2_cart_audit.md</x:v>
      </x:c>
    </x:row>
    <x:row r="42" ht="48" customHeight="1">
      <x:c r="A42" s="36" t="str">
        <x:v>CART-AI-038</x:v>
      </x:c>
      <x:c r="B42" s="36" t="str">
        <x:v>AI Generated</x:v>
      </x:c>
      <x:c r="C42" s="36" t="str">
        <x:v>Body / shape</x:v>
      </x:c>
      <x:c r="D42" s="36" t="str">
        <x:v>JSON array instead of object</x:v>
      </x:c>
      <x:c r="E42" s="36" t="str">
        <x:v>[{"id":1,"name":"iPhone 15 Pro Max","price":30000000,"quantity":1}]</x:v>
      </x:c>
      <x:c r="F42" s="36" t="str">
        <x:v>Valid user token</x:v>
      </x:c>
      <x:c r="G42" s="36" t="str">
        <x:v>4xx</x:v>
      </x:c>
      <x:c r="H42" s="36" t="str">
        <x:v>Request is rejected because body shape is invalid</x:v>
      </x:c>
      <x:c r="I42" s="36" t="str">
        <x:v>Schema/body shape</x:v>
      </x:c>
      <x:c r="J42" s="36" t="str">
        <x:v>INCOMPLETE</x:v>
      </x:c>
      <x:c r="K42" s="36" t="str">
        <x:v>The spec illustrates an object but does not define schema-validation behavior; the route does not validate shape.</x:v>
      </x:c>
      <x:c r="L42" s="36" t="str">
        <x:v>Retain as body-shape characterization; current implementation is expected to accept the array and return 200.</x:v>
      </x:c>
      <x:c r="M42" s="36" t="str">
        <x:v>Automated Newman</x:v>
      </x:c>
      <x:c r="N42" s="36" t="str">
        <x:v>PASS</x:v>
      </x:c>
      <x:c r="O42" s="36" t="str">
        <x:v>Executed successfully; corrected/characterization assertions passed.</x:v>
      </x:c>
      <x:c r="P42" s="36" t="str"/>
      <x:c r="Q42" s="36" t="str">
        <x:v>api2_cart_ai_generated.md; api2_cart_audit.md</x:v>
      </x:c>
    </x:row>
    <x:row r="43" ht="48" customHeight="1">
      <x:c r="A43" s="36" t="str">
        <x:v>CART-AI-039</x:v>
      </x:c>
      <x:c r="B43" s="36" t="str">
        <x:v>AI Generated</x:v>
      </x:c>
      <x:c r="C43" s="36" t="str">
        <x:v>State transition</x:v>
      </x:c>
      <x:c r="D43" s="36" t="str">
        <x:v>Add the same product twice to the same user's cart</x:v>
      </x:c>
      <x:c r="E43" s="36" t="str">
        <x:v>Two consecutive valid POST requests for product id 1</x:v>
      </x:c>
      <x:c r="F43" s="36" t="str">
        <x:v>Valid user token</x:v>
      </x:c>
      <x:c r="G43" s="36" t="str">
        <x:v>200 for both</x:v>
      </x:c>
      <x:c r="H43" s="36" t="str">
        <x:v>Cart should merge/update quantity rather than create inconsistent duplicates</x:v>
      </x:c>
      <x:c r="I43" s="36" t="str">
        <x:v>Repeated-add cart state</x:v>
      </x:c>
      <x:c r="J43" s="36" t="str">
        <x:v>INVALID</x:v>
      </x:c>
      <x:c r="K43" s="36" t="str">
        <x:v>The AI invented a requirement that repeated adds must merge/update quantity. The supplied spec does not define duplicate-item semantics, and the implementation simply pushes another item.</x:v>
      </x:c>
      <x:c r="L43" s="36" t="str">
        <x:v>Correct characterization: both POSTs return 200 and two entries may exist. Do not report duplication as a spec bug without another requirement.</x:v>
      </x:c>
      <x:c r="M43" s="36" t="str">
        <x:v>Automated Newman</x:v>
      </x:c>
      <x:c r="N43" s="36" t="str">
        <x:v>PASS</x:v>
      </x:c>
      <x:c r="O43" s="36" t="str">
        <x:v>Executed successfully; corrected/characterization assertions passed.</x:v>
      </x:c>
      <x:c r="P43" s="36" t="str"/>
      <x:c r="Q43" s="36" t="str">
        <x:v>api2_cart_ai_generated.md; api2_cart_audit.md</x:v>
      </x:c>
    </x:row>
    <x:row r="44" ht="48" customHeight="1">
      <x:c r="A44" s="36" t="str">
        <x:v>CART-AI-040</x:v>
      </x:c>
      <x:c r="B44" s="36" t="str">
        <x:v>AI Generated</x:v>
      </x:c>
      <x:c r="C44" s="36" t="str">
        <x:v>State / user isolation</x:v>
      </x:c>
      <x:c r="D44" s="36" t="str">
        <x:v>User A adds an item, then User B reads/uses their cart</x:v>
      </x:c>
      <x:c r="E44" s="36" t="str">
        <x:v>User A POSTs product id 1; User B uses separate token</x:v>
      </x:c>
      <x:c r="F44" s="36" t="str">
        <x:v>Two valid user tokens</x:v>
      </x:c>
      <x:c r="G44" s="36" t="str">
        <x:v>200</x:v>
      </x:c>
      <x:c r="H44" s="36" t="str">
        <x:v>User B must not gain access to User A's cart contents</x:v>
      </x:c>
      <x:c r="I44" s="36" t="str">
        <x:v>Per-user state isolation</x:v>
      </x:c>
      <x:c r="J44" s="36" t="str">
        <x:v>VALID</x:v>
      </x:c>
      <x:c r="K44" s="36" t="str">
        <x:v>Per-user isolation is a meaningful security/state property because the authenticated user id indexes each cart; another user's token must not expose User A's cart.</x:v>
      </x:c>
      <x:c r="L44" s="36" t="str">
        <x:v>User A add succeeds; User B's cart state remains separate. Verify using helper `GET /api/cart`.</x:v>
      </x:c>
      <x:c r="M44" s="36" t="str">
        <x:v>Automated Newman</x:v>
      </x:c>
      <x:c r="N44" s="36" t="str">
        <x:v>PASS</x:v>
      </x:c>
      <x:c r="O44" s="36" t="str">
        <x:v>Executed successfully; corrected/characterization assertions passed.</x:v>
      </x:c>
      <x:c r="P44" s="36" t="str"/>
      <x:c r="Q44" s="36" t="str">
        <x:v>api2_cart_ai_generated.md; api2_cart_audit.md</x:v>
      </x:c>
    </x:row>
    <x:row r="45" ht="48" customHeight="1">
      <x:c r="A45" s="36" t="str">
        <x:v>CART-AI-041</x:v>
      </x:c>
      <x:c r="B45" s="36" t="str">
        <x:v>AI Generated</x:v>
      </x:c>
      <x:c r="C45" s="36" t="str">
        <x:v>Security / mass assignment</x:v>
      </x:c>
      <x:c r="D45" s="36" t="str">
        <x:v>Add unexpected server-like fields in the cart item</x:v>
      </x:c>
      <x:c r="E45" s="36" t="str">
        <x:v>{"id":1,"name":"iPhone 15 Pro Max","price":30000000,"quantity":1,"user_id":999,"isAdmin":true}</x:v>
      </x:c>
      <x:c r="F45" s="36" t="str">
        <x:v>Valid user token</x:v>
      </x:c>
      <x:c r="G45" s="36" t="str">
        <x:v>200 or 4xx</x:v>
      </x:c>
      <x:c r="H45" s="36" t="str">
        <x:v>Unexpected fields must not change authenticated ownership or privileges</x:v>
      </x:c>
      <x:c r="I45" s="36" t="str">
        <x:v>Mass assignment / ownership</x:v>
      </x:c>
      <x:c r="J45" s="36" t="str">
        <x:v>INCOMPLETE</x:v>
      </x:c>
      <x:c r="K45" s="36" t="str">
        <x:v>Unexpected-field probing is useful, but the AI assumed they must be rejected/ignored. The route stores the entire body. Extra `user_id`/`isAdmin` fields do not control authenticated ownership because ownership comes from `req.user.id`, but they can still persist as arbitrary item data.</x:v>
      </x:c>
      <x:c r="L45" s="36" t="str">
        <x:v>Retain as mass-assignment/data-integrity characterization. Assert that extra fields cannot change actual cart ownership or authentication privilege.</x:v>
      </x:c>
      <x:c r="M45" s="36" t="str">
        <x:v>Automated Newman</x:v>
      </x:c>
      <x:c r="N45" s="36" t="str">
        <x:v>PASS</x:v>
      </x:c>
      <x:c r="O45" s="36" t="str">
        <x:v>Executed successfully; corrected/characterization assertions passed.</x:v>
      </x:c>
      <x:c r="P45" s="36" t="str"/>
      <x:c r="Q45" s="36" t="str">
        <x:v>api2_cart_ai_generated.md; api2_cart_audit.md</x:v>
      </x:c>
    </x:row>
    <x:row r="46" ht="48" customHeight="1">
      <x:c r="A46" s="36" t="str">
        <x:v>CART-AI-042</x:v>
      </x:c>
      <x:c r="B46" s="36" t="str">
        <x:v>AI Generated</x:v>
      </x:c>
      <x:c r="C46" s="36" t="str">
        <x:v>Response schema</x:v>
      </x:c>
      <x:c r="D46" s="36" t="str">
        <x:v>Verify exact successful response schema</x:v>
      </x:c>
      <x:c r="E46" s="36" t="str">
        <x:v>{"id":1,"name":"iPhone 15 Pro Max","price":30000000,"quantity":1}</x:v>
      </x:c>
      <x:c r="F46" s="36" t="str">
        <x:v>Valid user token</x:v>
      </x:c>
      <x:c r="G46" s="36" t="str">
        <x:v>200</x:v>
      </x:c>
      <x:c r="H46" s="36" t="str">
        <x:v>Response exactly matches documented success message `Added to cart` without sensitive fields</x:v>
      </x:c>
      <x:c r="I46" s="36" t="str">
        <x:v>Schema validation</x:v>
      </x:c>
      <x:c r="J46" s="36" t="str">
        <x:v>VALID</x:v>
      </x:c>
      <x:c r="K46" s="36" t="str">
        <x:v>HW06 requires schema validation, and the documented successful add response is the message `Added to cart`.</x:v>
      </x:c>
      <x:c r="L46" s="36" t="str">
        <x:v>200; response contains exactly the documented success message and no sensitive authentication data.</x:v>
      </x:c>
      <x:c r="M46" s="36" t="str">
        <x:v>Automated Newman</x:v>
      </x:c>
      <x:c r="N46" s="36" t="str">
        <x:v>PASS</x:v>
      </x:c>
      <x:c r="O46" s="36" t="str">
        <x:v>Executed successfully; corrected/characterization assertions passed.</x:v>
      </x:c>
      <x:c r="P46" s="36" t="str"/>
      <x:c r="Q46" s="36" t="str">
        <x:v>api2_cart_ai_generated.md; api2_cart_audit.md</x:v>
      </x:c>
    </x:row>
    <x:row r="47" ht="48" customHeight="1">
      <x:c r="A47" s="36" t="str">
        <x:v>CART-HUM-001</x:v>
      </x:c>
      <x:c r="B47" s="36" t="str">
        <x:v>Human Extension</x:v>
      </x:c>
      <x:c r="C47" s="36" t="str">
        <x:v>State / repeated add integrity</x:v>
      </x:c>
      <x:c r="D47" s="36" t="str">
        <x:v>Add the same product id twice but use different client-supplied price and name values.</x:v>
      </x:c>
      <x:c r="E47" s="36" t="str">
        <x:v>1) POST id=1, canonical-looking name/price, quantity=1. 2) POST id=1 again with `name="Tampered Name"`, `price=1`, quantity=1.</x:v>
      </x:c>
      <x:c r="F47" s="36" t="str"/>
      <x:c r="G47" s="36" t="str"/>
      <x:c r="H47" s="36" t="str"/>
      <x:c r="I47" s="36" t="str">
        <x:v>The AI tested duplicate add and metadata tampering separately, but not their interaction across stateful requests.</x:v>
      </x:c>
      <x:c r="J47" s="36" t="str">
        <x:v>HUMAN EXTENSION</x:v>
      </x:c>
      <x:c r="K47" s="36" t="str">
        <x:v>Added after the AI audit to cover a gap or strengthen evidence.</x:v>
      </x:c>
      <x:c r="L47" s="36" t="str">
        <x:v>Both requests may succeed under the current implementation, but the test must verify the resulting cart state and document whether contradictory metadata for the same product id is stored as separate entries. Do not assume merge semantics because the supplied spec does not define them.</x:v>
      </x:c>
      <x:c r="M47" s="36" t="str">
        <x:v>Automated Newman</x:v>
      </x:c>
      <x:c r="N47" s="36" t="str">
        <x:v>PASS</x:v>
      </x:c>
      <x:c r="O47" s="36" t="str">
        <x:v>PASS characterization: same product id can coexist with contradictory name/price metadata.</x:v>
      </x:c>
      <x:c r="P47" s="36" t="str"/>
      <x:c r="Q47" s="36" t="str">
        <x:v>api2_cart_human_extension.md</x:v>
      </x:c>
    </x:row>
    <x:row r="48" ht="48" customHeight="1">
      <x:c r="A48" s="36" t="str">
        <x:v>CART-HUM-002</x:v>
      </x:c>
      <x:c r="B48" s="36" t="str">
        <x:v>Human Extension</x:v>
      </x:c>
      <x:c r="C48" s="36" t="str">
        <x:v>Security / user isolation</x:v>
      </x:c>
      <x:c r="D48" s="36" t="str">
        <x:v>User A adds an item; User B independently adds a different item; verify each cart contains only its own user's entries.</x:v>
      </x:c>
      <x:c r="E48" s="36" t="str">
        <x:v>Use two valid JWTs. User A POSTs product 1; User B POSTs product 2; helper GET `/api/cart` under each token.</x:v>
      </x:c>
      <x:c r="F48" s="36" t="str"/>
      <x:c r="G48" s="36" t="str"/>
      <x:c r="H48" s="36" t="str"/>
      <x:c r="I48" s="36" t="str">
        <x:v>The AI proposed isolation conceptually but did not define a full two-user bidirectional verification flow.</x:v>
      </x:c>
      <x:c r="J48" s="36" t="str">
        <x:v>HUMAN EXTENSION</x:v>
      </x:c>
      <x:c r="K48" s="36" t="str">
        <x:v>Added after the AI audit to cover a gap or strengthen evidence.</x:v>
      </x:c>
      <x:c r="L48" s="36" t="str">
        <x:v>Each authenticated user sees only the cart indexed by their own JWT user id. Cross-user leakage is a genuine security defect.</x:v>
      </x:c>
      <x:c r="M48" s="36" t="str">
        <x:v>Automated Newman</x:v>
      </x:c>
      <x:c r="N48" s="36" t="str">
        <x:v>PASS</x:v>
      </x:c>
      <x:c r="O48" s="36" t="str">
        <x:v>PASS: two-user cart isolation verified in both directions.</x:v>
      </x:c>
      <x:c r="P48" s="36" t="str"/>
      <x:c r="Q48" s="36" t="str">
        <x:v>api2_cart_human_extension.md</x:v>
      </x:c>
    </x:row>
    <x:row r="49" ht="48" customHeight="1">
      <x:c r="A49" s="36" t="str">
        <x:v>CART-HUM-003</x:v>
      </x:c>
      <x:c r="B49" s="36" t="str">
        <x:v>Human Extension</x:v>
      </x:c>
      <x:c r="C49" s="36" t="str">
        <x:v>Authentication / stale token</x:v>
      </x:c>
      <x:c r="D49" s="36" t="str">
        <x:v>Use a previously issued valid JWT after changing the corresponding user's stored role or profile data.</x:v>
      </x:c>
      <x:c r="E49" s="36" t="str">
        <x:v>Authenticate a user, retain JWT, change non-id account state, then POST `/api/cart` with the old JWT.</x:v>
      </x:c>
      <x:c r="F49" s="36" t="str"/>
      <x:c r="G49" s="36" t="str"/>
      <x:c r="H49" s="36" t="str"/>
      <x:c r="I49" s="36" t="str">
        <x:v>The AI covered malformed/tampered tokens but not a syntactically valid token whose backing account state changes after issuance.</x:v>
      </x:c>
      <x:c r="J49" s="36" t="str">
        <x:v>HUMAN EXTENSION</x:v>
      </x:c>
      <x:c r="K49" s="36" t="str">
        <x:v>Added after the AI audit to cover a gap or strengthen evidence.</x:v>
      </x:c>
      <x:c r="L49" s="36" t="str">
        <x:v>Characterize whether the old JWT remains accepted. Because the middleware trusts signed JWT claims and does not re-read user state, acceptance is expected unless token revocation is specified elsewhere. Do not classify this as a bug without an explicit revocation requirement.</x:v>
      </x:c>
      <x:c r="M49" s="36" t="str">
        <x:v>Automated Newman</x:v>
      </x:c>
      <x:c r="N49" s="36" t="str">
        <x:v>PASS</x:v>
      </x:c>
      <x:c r="O49" s="36" t="str">
        <x:v>PASS characterization: previously issued valid JWT remained usable after profile-state change.</x:v>
      </x:c>
      <x:c r="P49" s="36" t="str"/>
      <x:c r="Q49" s="36" t="str">
        <x:v>api2_cart_human_extension.md</x:v>
      </x:c>
    </x:row>
    <x:row r="50" ht="48" customHeight="1">
      <x:c r="A50" s="36" t="str">
        <x:v>CART-HUM-004</x:v>
      </x:c>
      <x:c r="B50" s="36" t="str">
        <x:v>Human Extension</x:v>
      </x:c>
      <x:c r="C50" s="36" t="str">
        <x:v>Body / nested structure</x:v>
      </x:c>
      <x:c r="D50" s="36" t="str">
        <x:v>Send nested objects for cart item fields instead of primitive values.</x:v>
      </x:c>
      <x:c r="E50" s="36" t="str">
        <x:v>`{"id":{"value":1},"name":{"text":"Nested"},"price":{"amount":30000000},"quantity":{"value":1}}`</x:v>
      </x:c>
      <x:c r="F50" s="36" t="str"/>
      <x:c r="G50" s="36" t="str"/>
      <x:c r="H50" s="36" t="str"/>
      <x:c r="I50" s="36" t="str">
        <x:v>The AI varied primitive types but did not test nested-object payloads across all cart fields.</x:v>
      </x:c>
      <x:c r="J50" s="36" t="str">
        <x:v>HUMAN EXTENSION</x:v>
      </x:c>
      <x:c r="K50" s="36" t="str">
        <x:v>Added after the AI audit to cover a gap or strengthen evidence.</x:v>
      </x:c>
      <x:c r="L50" s="36" t="str">
        <x:v>The server must handle the request without an unhandled 5xx error. Exact acceptance/rejection is characterization because no formal schema validation rule is supplied.</x:v>
      </x:c>
      <x:c r="M50" s="36" t="str">
        <x:v>Automated Newman</x:v>
      </x:c>
      <x:c r="N50" s="36" t="str">
        <x:v>PASS</x:v>
      </x:c>
      <x:c r="O50" s="36" t="str">
        <x:v>PASS characterization: nested object payload accepted without 5xx.</x:v>
      </x:c>
      <x:c r="P50" s="36" t="str"/>
      <x:c r="Q50" s="36" t="str">
        <x:v>api2_cart_human_extension.md</x:v>
      </x:c>
    </x:row>
    <x:row r="51" ht="48" customHeight="1">
      <x:c r="A51" s="36" t="str">
        <x:v>CART-HUM-005</x:v>
      </x:c>
      <x:c r="B51" s="36" t="str">
        <x:v>Human Extension</x:v>
      </x:c>
      <x:c r="C51" s="36" t="str">
        <x:v>Security / extra-field persistence</x:v>
      </x:c>
      <x:c r="D51" s="36" t="str">
        <x:v>Verify whether arbitrary unexpected fields are returned later from the user's cart.</x:v>
      </x:c>
      <x:c r="E51" s="36" t="str">
        <x:v>POST body includes `{"id":1,"name":"iPhone 15 Pro Max","price":30000000,"quantity":1,"debug":"secret-marker","user_id":999}` then helper GET `/api/cart`.</x:v>
      </x:c>
      <x:c r="F51" s="36" t="str"/>
      <x:c r="G51" s="36" t="str"/>
      <x:c r="H51" s="36" t="str"/>
      <x:c r="I51" s="36" t="str">
        <x:v>The AI checked extra fields only at POST time and did not verify their downstream persistence through GET.</x:v>
      </x:c>
      <x:c r="J51" s="36" t="str">
        <x:v>HUMAN EXTENSION</x:v>
      </x:c>
      <x:c r="K51" s="36" t="str">
        <x:v>Added after the AI audit to cover a gap or strengthen evidence.</x:v>
      </x:c>
      <x:c r="L51" s="36" t="str">
        <x:v>Authenticated ownership must still be based on the JWT user id. Record whether arbitrary extra fields are persisted and returned. Persistence of arbitrary client-controlled metadata is a data-integrity finding, but not automatically a spec violation because the supplied spec does not define strict rejection of extra properties.</x:v>
      </x:c>
      <x:c r="M51" s="36" t="str">
        <x:v>Automated Newman</x:v>
      </x:c>
      <x:c r="N51" s="36" t="str">
        <x:v>PASS</x:v>
      </x:c>
      <x:c r="O51" s="36" t="str">
        <x:v>PASS characterization: arbitrary extra fields persisted; JWT ownership remained unchanged.</x:v>
      </x:c>
      <x:c r="P51" s="36" t="str"/>
      <x:c r="Q51" s="36" t="str">
        <x:v>api2_cart_human_extension.md</x:v>
      </x:c>
    </x:row>
    <x:row r="52" ht="48" customHeight="1">
      <x:c r="A52" s="36" t="str">
        <x:v>CART-HUM-006</x:v>
      </x:c>
      <x:c r="B52" s="36" t="str">
        <x:v>Human Extension</x:v>
      </x:c>
      <x:c r="C52" s="36" t="str">
        <x:v>State / process-memory persistence</x:v>
      </x:c>
      <x:c r="D52" s="36" t="str">
        <x:v>Verify cart behavior across backend restart because cart state is held only in process memory.</x:v>
      </x:c>
      <x:c r="E52" s="36" t="str">
        <x:v>User adds an item and confirms it via GET `/api/cart`; restart backend; authenticate again if needed; GET `/api/cart`.</x:v>
      </x:c>
      <x:c r="F52" s="36" t="str"/>
      <x:c r="G52" s="36" t="str"/>
      <x:c r="H52" s="36" t="str"/>
      <x:c r="I52" s="36" t="str">
        <x:v>The AI focused on request-level state transitions and did not inspect implementation storage lifetime.</x:v>
      </x:c>
      <x:c r="J52" s="36" t="str">
        <x:v>HUMAN EXTENSION</x:v>
      </x:c>
      <x:c r="K52" s="36" t="str">
        <x:v>Added after the AI audit to cover a gap or strengthen evidence.</x:v>
      </x:c>
      <x:c r="L52" s="36" t="str">
        <x:v>Document whether cart contents disappear after restart. Since persistence requirements are not stated in the supplied API spec, loss of cart state should be recorded as implementation behavior unless another functional requirement explicitly requires persistence.</x:v>
      </x:c>
      <x:c r="M52" s="36" t="str">
        <x:v>Manual</x:v>
      </x:c>
      <x:c r="N52" s="36" t="str">
        <x:v>PASS</x:v>
      </x:c>
      <x:c r="O52" s="36" t="str">
        <x:v>Manual PASS characterization: RESTART_MARKER existed before restart; GET /api/cart returned [] after backend restart.</x:v>
      </x:c>
      <x:c r="P52" s="36" t="str"/>
      <x:c r="Q52" s="36" t="str">
        <x:v>api2_cart_human_extension.md</x:v>
      </x:c>
    </x:row>
  </x:sheetData>
  <x:mergeCells>
    <x:mergeCell ref="A1:Q1"/>
    <x:mergeCell ref="A3:Q3"/>
  </x:mergeCells>
  <x:conditionalFormatting sqref="J5:J52">
    <x:cfRule type="expression" dxfId="7" priority="1">
      <x:formula>J5="VALID"</x:formula>
    </x:cfRule>
    <x:cfRule type="expression" dxfId="8" priority="2">
      <x:formula>J5="INVALID"</x:formula>
    </x:cfRule>
    <x:cfRule type="expression" dxfId="9" priority="3">
      <x:formula>J5="INCOMPLETE"</x:formula>
    </x:cfRule>
    <x:cfRule type="expression" dxfId="10" priority="4">
      <x:formula>J5="HUMAN EXTENSION"</x:formula>
    </x:cfRule>
  </x:conditionalFormatting>
  <x:conditionalFormatting sqref="N5:N52">
    <x:cfRule type="expression" dxfId="11" priority="5">
      <x:formula>N5="PASS"</x:formula>
    </x:cfRule>
    <x:cfRule type="expression" dxfId="12" priority="6">
      <x:formula>N5="FAIL"</x:formula>
    </x:cfRule>
    <x:cfRule type="expression" dxfId="13" priority="7">
      <x:formula>N5="NOT EXECUTED"</x:formula>
    </x:cfRule>
  </x:conditionalFormatting>
  <x:pageMargins left="0.7" right="0.7" top="0.75" bottom="0.75" header="0.3" footer="0.3"/>
  <x:tableParts count="1">
    <x:tablePart xmlns:r="http://schemas.openxmlformats.org/officeDocument/2006/relationships" r:id="R8da8f51162ac4b52"/>
  </x:tableParts>
</x:worksheet>
</file>

<file path=xl/worksheets/sheet3.xml><?xml version="1.0" encoding="utf-8"?>
<x:worksheet xmlns:x="http://schemas.openxmlformats.org/spreadsheetml/2006/main">
  <x:sheetFormatPr defaultRowHeight="15"/>
  <x:cols>
    <x:col min="1" max="1" width="16" hidden="0" customWidth="1"/>
    <x:col min="2" max="2" width="16" hidden="0" customWidth="1"/>
    <x:col min="3" max="3" width="25" hidden="0" customWidth="1"/>
    <x:col min="4" max="4" width="36" hidden="0" customWidth="1"/>
    <x:col min="5" max="5" width="44" hidden="0" customWidth="1"/>
    <x:col min="6" max="6" width="24" hidden="0" customWidth="1"/>
    <x:col min="7" max="7" width="18" hidden="0" customWidth="1"/>
    <x:col min="8" max="8" width="36" hidden="0" customWidth="1"/>
    <x:col min="9" max="9" width="38" hidden="0" customWidth="1"/>
    <x:col min="10" max="10" width="16" hidden="0" customWidth="1"/>
    <x:col min="11" max="11" width="44" hidden="0" customWidth="1"/>
    <x:col min="12" max="12" width="44" hidden="0" customWidth="1"/>
    <x:col min="13" max="13" width="17" hidden="0" customWidth="1"/>
    <x:col min="14" max="14" width="16" hidden="0" customWidth="1"/>
    <x:col min="15" max="15" width="40" hidden="0" customWidth="1"/>
    <x:col min="16" max="16" width="38" hidden="0" customWidth="1"/>
    <x:col min="17" max="17" width="34" hidden="0" customWidth="1"/>
  </x:cols>
  <x:sheetData>
    <x:row r="1" ht="28" customHeight="1">
      <x:c r="A1" s="5" t="str">
        <x:v>HW06 — API 3 Test Cases</x:v>
      </x:c>
      <x:c r="B1" s="5"/>
      <x:c r="C1" s="5"/>
      <x:c r="D1" s="5"/>
      <x:c r="E1" s="5"/>
      <x:c r="F1" s="5"/>
      <x:c r="G1" s="5"/>
      <x:c r="H1" s="5"/>
      <x:c r="I1" s="5"/>
      <x:c r="J1" s="5"/>
      <x:c r="K1" s="5"/>
      <x:c r="L1" s="5"/>
      <x:c r="M1" s="5"/>
      <x:c r="N1" s="5"/>
      <x:c r="O1" s="5"/>
      <x:c r="P1" s="5"/>
      <x:c r="Q1" s="5"/>
    </x:row>
    <x:row r="2">
      <x:c r="A2" s="12" t="str">
        <x:v>Feature</x:v>
      </x:c>
      <x:c r="B2" s="16" t="str">
        <x:v>FR-12 Access Control</x:v>
      </x:c>
      <x:c r="C2" s="12" t="str">
        <x:v>Endpoint</x:v>
      </x:c>
      <x:c r="D2" s="16" t="str">
        <x:v>GET /api/admin/users</x:v>
      </x:c>
      <x:c r="E2" s="12" t="str">
        <x:v>Student ID</x:v>
      </x:c>
      <x:c r="F2" t="str">
        <x:v>23127531</x:v>
      </x:c>
    </x:row>
    <x:row r="3" ht="34" customHeight="1">
      <x:c r="A3" s="21" t="str">
        <x:v>AI draft expectations are preserved separately from the Human Audit. Execution Status reflects the final executable suite; PASS can represent either a conformance pass or a passed characterization assertion after the AI oracle was corrected.</x:v>
      </x:c>
      <x:c r="B3" s="21"/>
      <x:c r="C3" s="21"/>
      <x:c r="D3" s="21"/>
      <x:c r="E3" s="21"/>
      <x:c r="F3" s="21"/>
      <x:c r="G3" s="21"/>
      <x:c r="H3" s="21"/>
      <x:c r="I3" s="21"/>
      <x:c r="J3" s="21"/>
      <x:c r="K3" s="21"/>
      <x:c r="L3" s="21"/>
      <x:c r="M3" s="21"/>
      <x:c r="N3" s="21"/>
      <x:c r="O3" s="21"/>
      <x:c r="P3" s="21"/>
      <x:c r="Q3" s="21"/>
    </x:row>
    <x:row r="4" ht="38" customHeight="1">
      <x:c r="A4" s="30" t="str">
        <x:v>Test Case ID</x:v>
      </x:c>
      <x:c r="B4" s="30" t="str">
        <x:v>Origin</x:v>
      </x:c>
      <x:c r="C4" s="30" t="str">
        <x:v>Category</x:v>
      </x:c>
      <x:c r="D4" s="30" t="str">
        <x:v>Objective</x:v>
      </x:c>
      <x:c r="E4" s="30" t="str">
        <x:v>Request / Test Data</x:v>
      </x:c>
      <x:c r="F4" s="30" t="str">
        <x:v>Authentication / Setup</x:v>
      </x:c>
      <x:c r="G4" s="30" t="str">
        <x:v>AI Draft Expected HTTP</x:v>
      </x:c>
      <x:c r="H4" s="30" t="str">
        <x:v>AI Draft Expected Result</x:v>
      </x:c>
      <x:c r="I4" s="30" t="str">
        <x:v>Coverage Basis / Why AI Missed</x:v>
      </x:c>
      <x:c r="J4" s="30" t="str">
        <x:v>Audit Label</x:v>
      </x:c>
      <x:c r="K4" s="30" t="str">
        <x:v>Human Review Reasoning</x:v>
      </x:c>
      <x:c r="L4" s="30" t="str">
        <x:v>Corrected / Final Oracle</x:v>
      </x:c>
      <x:c r="M4" s="30" t="str">
        <x:v>Execution Mode</x:v>
      </x:c>
      <x:c r="N4" s="30" t="str">
        <x:v>Execution Status</x:v>
      </x:c>
      <x:c r="O4" s="30" t="str">
        <x:v>Actual Result / Observation</x:v>
      </x:c>
      <x:c r="P4" s="30" t="str">
        <x:v>Bug / GitHub Issue</x:v>
      </x:c>
      <x:c r="Q4" s="30" t="str">
        <x:v>Source Artifact</x:v>
      </x:c>
    </x:row>
    <x:row r="5" ht="48" customHeight="1">
      <x:c r="A5" s="36" t="str">
        <x:v>ADMIN-AI-001</x:v>
      </x:c>
      <x:c r="B5" s="36" t="str">
        <x:v>AI Generated</x:v>
      </x:c>
      <x:c r="C5" s="36" t="str">
        <x:v>Positive / admin</x:v>
      </x:c>
      <x:c r="D5" s="36" t="str">
        <x:v>Valid seeded admin token accesses admin user list</x:v>
      </x:c>
      <x:c r="E5" s="36" t="str">
        <x:v>GET /api/admin/users</x:v>
      </x:c>
      <x:c r="F5" s="36" t="str">
        <x:v>Bearer token for `admin@eshop.com`</x:v>
      </x:c>
      <x:c r="G5" s="36" t="str">
        <x:v>200</x:v>
      </x:c>
      <x:c r="H5" s="36" t="str">
        <x:v>Returns JSON array of users</x:v>
      </x:c>
      <x:c r="I5" s="36" t="str">
        <x:v>Admin happy path</x:v>
      </x:c>
      <x:c r="J5" s="36" t="str">
        <x:v>VALID</x:v>
      </x:c>
      <x:c r="K5" s="36" t="str">
        <x:v>The supplied API specification explicitly states that all `/api/admin/...` endpoints require a Bearer token and an Admin account. A valid admin accessing the endpoint is the baseline positive case.</x:v>
      </x:c>
      <x:c r="L5" s="36" t="str">
        <x:v>Valid seeded admin token → 200 and a JSON user list.</x:v>
      </x:c>
      <x:c r="M5" s="36" t="str">
        <x:v>Automated Newman</x:v>
      </x:c>
      <x:c r="N5" s="36" t="str">
        <x:v>PASS</x:v>
      </x:c>
      <x:c r="O5" s="36" t="str">
        <x:v>Executed successfully; corrected/characterization assertions passed.</x:v>
      </x:c>
      <x:c r="P5" s="36" t="str"/>
      <x:c r="Q5" s="36" t="str">
        <x:v>api3_access_control_ai_generated.md; api3_access_control_audit.md</x:v>
      </x:c>
    </x:row>
    <x:row r="6" ht="48" customHeight="1">
      <x:c r="A6" s="36" t="str">
        <x:v>ADMIN-AI-002</x:v>
      </x:c>
      <x:c r="B6" s="36" t="str">
        <x:v>AI Generated</x:v>
      </x:c>
      <x:c r="C6" s="36" t="str">
        <x:v>Authorization / role</x:v>
      </x:c>
      <x:c r="D6" s="36" t="str">
        <x:v>Valid normal-user token accesses admin user list</x:v>
      </x:c>
      <x:c r="E6" s="36" t="str">
        <x:v>GET /api/admin/users</x:v>
      </x:c>
      <x:c r="F6" s="36" t="str">
        <x:v>Bearer token for `test@eshop.com`</x:v>
      </x:c>
      <x:c r="G6" s="36" t="str">
        <x:v>403</x:v>
      </x:c>
      <x:c r="H6" s="36" t="str">
        <x:v>Access denied because caller is not Admin</x:v>
      </x:c>
      <x:c r="I6" s="36" t="str">
        <x:v>FR-12 / admin-only requirement</x:v>
      </x:c>
      <x:c r="J6" s="36" t="str">
        <x:v>VALID</x:v>
      </x:c>
      <x:c r="K6" s="36" t="str">
        <x:v>This is the core FR-12 negative case. The specification explicitly requires Admin role, so a normal authenticated user must not receive the admin user list.</x:v>
      </x:c>
      <x:c r="L6" s="36" t="str">
        <x:v>Valid normal-user token → 403 (or another clear authorization-denied 4xx); response must not contain the user list.</x:v>
      </x:c>
      <x:c r="M6" s="36" t="str">
        <x:v>Automated Newman</x:v>
      </x:c>
      <x:c r="N6" s="36" t="str">
        <x:v>FAIL</x:v>
      </x:c>
      <x:c r="O6" s="36" t="str">
        <x:v>HTTP 200 with global user array for a normal-user JWT; authorization assertion failed.</x:v>
      </x:c>
      <x:c r="P6" s="36" t="str">
        <x:v>https://github.com/aohymevoL666/software-testing-homework6/issues/2</x:v>
      </x:c>
      <x:c r="Q6" s="36" t="str">
        <x:v>api3_access_control_ai_generated.md; api3_access_control_audit.md</x:v>
      </x:c>
    </x:row>
    <x:row r="7" ht="48" customHeight="1">
      <x:c r="A7" s="36" t="str">
        <x:v>ADMIN-AI-003</x:v>
      </x:c>
      <x:c r="B7" s="36" t="str">
        <x:v>AI Generated</x:v>
      </x:c>
      <x:c r="C7" s="36" t="str">
        <x:v>Authentication</x:v>
      </x:c>
      <x:c r="D7" s="36" t="str">
        <x:v>No Authorization header</x:v>
      </x:c>
      <x:c r="E7" s="36" t="str">
        <x:v>GET /api/admin/users</x:v>
      </x:c>
      <x:c r="F7" s="36" t="str">
        <x:v>None</x:v>
      </x:c>
      <x:c r="G7" s="36" t="str">
        <x:v>401</x:v>
      </x:c>
      <x:c r="H7" s="36" t="str">
        <x:v>Returns Unauthorized error</x:v>
      </x:c>
      <x:c r="I7" s="36" t="str">
        <x:v>Missing-token partition</x:v>
      </x:c>
      <x:c r="J7" s="36" t="str">
        <x:v>VALID</x:v>
      </x:c>
      <x:c r="K7" s="36" t="str">
        <x:v>The endpoint requires Bearer authentication and the middleware explicitly returns 401 when no token is present.</x:v>
      </x:c>
      <x:c r="L7" s="36" t="str">
        <x:v>No Authorization header → 401 with `Unauthorized` error.</x:v>
      </x:c>
      <x:c r="M7" s="36" t="str">
        <x:v>Automated Newman</x:v>
      </x:c>
      <x:c r="N7" s="36" t="str">
        <x:v>PASS</x:v>
      </x:c>
      <x:c r="O7" s="36" t="str">
        <x:v>Executed successfully; corrected/characterization assertions passed.</x:v>
      </x:c>
      <x:c r="P7" s="36" t="str"/>
      <x:c r="Q7" s="36" t="str">
        <x:v>api3_access_control_ai_generated.md; api3_access_control_audit.md</x:v>
      </x:c>
    </x:row>
    <x:row r="8" ht="48" customHeight="1">
      <x:c r="A8" s="36" t="str">
        <x:v>ADMIN-AI-004</x:v>
      </x:c>
      <x:c r="B8" s="36" t="str">
        <x:v>AI Generated</x:v>
      </x:c>
      <x:c r="C8" s="36" t="str">
        <x:v>Authentication</x:v>
      </x:c>
      <x:c r="D8" s="36" t="str">
        <x:v>`Authorization: Bearer` with no token</x:v>
      </x:c>
      <x:c r="E8" s="36" t="str">
        <x:v>GET /api/admin/users</x:v>
      </x:c>
      <x:c r="F8" s="36" t="str">
        <x:v>Bearer only</x:v>
      </x:c>
      <x:c r="G8" s="36" t="str">
        <x:v>401</x:v>
      </x:c>
      <x:c r="H8" s="36" t="str">
        <x:v>Returns Unauthorized error</x:v>
      </x:c>
      <x:c r="I8" s="36" t="str">
        <x:v>Empty-token partition</x:v>
      </x:c>
      <x:c r="J8" s="36" t="str">
        <x:v>VALID</x:v>
      </x:c>
      <x:c r="K8" s="36" t="str">
        <x:v>The middleware extracts the second Authorization token component; `Bearer` without a token follows the missing-token path.</x:v>
      </x:c>
      <x:c r="L8" s="36" t="str">
        <x:v>`Authorization: Bearer` → 401.</x:v>
      </x:c>
      <x:c r="M8" s="36" t="str">
        <x:v>Automated Newman</x:v>
      </x:c>
      <x:c r="N8" s="36" t="str">
        <x:v>PASS</x:v>
      </x:c>
      <x:c r="O8" s="36" t="str">
        <x:v>Executed successfully; corrected/characterization assertions passed.</x:v>
      </x:c>
      <x:c r="P8" s="36" t="str"/>
      <x:c r="Q8" s="36" t="str">
        <x:v>api3_access_control_ai_generated.md; api3_access_control_audit.md</x:v>
      </x:c>
    </x:row>
    <x:row r="9" ht="48" customHeight="1">
      <x:c r="A9" s="36" t="str">
        <x:v>ADMIN-AI-005</x:v>
      </x:c>
      <x:c r="B9" s="36" t="str">
        <x:v>AI Generated</x:v>
      </x:c>
      <x:c r="C9" s="36" t="str">
        <x:v>Authentication</x:v>
      </x:c>
      <x:c r="D9" s="36" t="str">
        <x:v>Malformed random bearer token</x:v>
      </x:c>
      <x:c r="E9" s="36" t="str">
        <x:v>GET /api/admin/users</x:v>
      </x:c>
      <x:c r="F9" s="36" t="str">
        <x:v>Bearer `not-a-jwt`</x:v>
      </x:c>
      <x:c r="G9" s="36" t="str">
        <x:v>403</x:v>
      </x:c>
      <x:c r="H9" s="36" t="str">
        <x:v>Returns Forbidden error</x:v>
      </x:c>
      <x:c r="I9" s="36" t="str">
        <x:v>Invalid JWT</x:v>
      </x:c>
      <x:c r="J9" s="36" t="str">
        <x:v>VALID</x:v>
      </x:c>
      <x:c r="K9" s="36" t="str">
        <x:v>Malformed JWT is a valid authentication partition and the middleware explicitly maps verification errors to 403.</x:v>
      </x:c>
      <x:c r="L9" s="36" t="str">
        <x:v>Malformed bearer token → 403 with `Forbidden` error.</x:v>
      </x:c>
      <x:c r="M9" s="36" t="str">
        <x:v>Automated Newman</x:v>
      </x:c>
      <x:c r="N9" s="36" t="str">
        <x:v>PASS</x:v>
      </x:c>
      <x:c r="O9" s="36" t="str">
        <x:v>Executed successfully; corrected/characterization assertions passed.</x:v>
      </x:c>
      <x:c r="P9" s="36" t="str"/>
      <x:c r="Q9" s="36" t="str">
        <x:v>api3_access_control_ai_generated.md; api3_access_control_audit.md</x:v>
      </x:c>
    </x:row>
    <x:row r="10" ht="48" customHeight="1">
      <x:c r="A10" s="36" t="str">
        <x:v>ADMIN-AI-006</x:v>
      </x:c>
      <x:c r="B10" s="36" t="str">
        <x:v>AI Generated</x:v>
      </x:c>
      <x:c r="C10" s="36" t="str">
        <x:v>Authentication</x:v>
      </x:c>
      <x:c r="D10" s="36" t="str">
        <x:v>Tampered signature of otherwise valid admin JWT</x:v>
      </x:c>
      <x:c r="E10" s="36" t="str">
        <x:v>GET /api/admin/users</x:v>
      </x:c>
      <x:c r="F10" s="36" t="str">
        <x:v>Tampered admin JWT</x:v>
      </x:c>
      <x:c r="G10" s="36" t="str">
        <x:v>403</x:v>
      </x:c>
      <x:c r="H10" s="36" t="str">
        <x:v>Request is forbidden</x:v>
      </x:c>
      <x:c r="I10" s="36" t="str">
        <x:v>JWT integrity</x:v>
      </x:c>
      <x:c r="J10" s="36" t="str">
        <x:v>VALID</x:v>
      </x:c>
      <x:c r="K10" s="36" t="str">
        <x:v>Tampering with a valid admin token directly tests JWT integrity and should make verification fail.</x:v>
      </x:c>
      <x:c r="L10" s="36" t="str">
        <x:v>Tampered admin JWT → 403.</x:v>
      </x:c>
      <x:c r="M10" s="36" t="str">
        <x:v>Automated Newman</x:v>
      </x:c>
      <x:c r="N10" s="36" t="str">
        <x:v>PASS</x:v>
      </x:c>
      <x:c r="O10" s="36" t="str">
        <x:v>Executed successfully; corrected/characterization assertions passed.</x:v>
      </x:c>
      <x:c r="P10" s="36" t="str"/>
      <x:c r="Q10" s="36" t="str">
        <x:v>api3_access_control_ai_generated.md; api3_access_control_audit.md</x:v>
      </x:c>
    </x:row>
    <x:row r="11" ht="48" customHeight="1">
      <x:c r="A11" s="36" t="str">
        <x:v>ADMIN-AI-007</x:v>
      </x:c>
      <x:c r="B11" s="36" t="str">
        <x:v>AI Generated</x:v>
      </x:c>
      <x:c r="C11" s="36" t="str">
        <x:v>Authentication</x:v>
      </x:c>
      <x:c r="D11" s="36" t="str">
        <x:v>Tampered signature of otherwise valid user JWT</x:v>
      </x:c>
      <x:c r="E11" s="36" t="str">
        <x:v>GET /api/admin/users</x:v>
      </x:c>
      <x:c r="F11" s="36" t="str">
        <x:v>Tampered user JWT</x:v>
      </x:c>
      <x:c r="G11" s="36" t="str">
        <x:v>403</x:v>
      </x:c>
      <x:c r="H11" s="36" t="str">
        <x:v>Request is forbidden</x:v>
      </x:c>
      <x:c r="I11" s="36" t="str">
        <x:v>JWT integrity</x:v>
      </x:c>
      <x:c r="J11" s="36" t="str">
        <x:v>VALID</x:v>
      </x:c>
      <x:c r="K11" s="36" t="str">
        <x:v>Tampering with a valid normal-user token is another JWT-integrity partition and should fail verification.</x:v>
      </x:c>
      <x:c r="L11" s="36" t="str">
        <x:v>Tampered user JWT → 403.</x:v>
      </x:c>
      <x:c r="M11" s="36" t="str">
        <x:v>Automated Newman</x:v>
      </x:c>
      <x:c r="N11" s="36" t="str">
        <x:v>PASS</x:v>
      </x:c>
      <x:c r="O11" s="36" t="str">
        <x:v>Executed successfully; corrected/characterization assertions passed.</x:v>
      </x:c>
      <x:c r="P11" s="36" t="str"/>
      <x:c r="Q11" s="36" t="str">
        <x:v>api3_access_control_ai_generated.md; api3_access_control_audit.md</x:v>
      </x:c>
    </x:row>
    <x:row r="12" ht="48" customHeight="1">
      <x:c r="A12" s="36" t="str">
        <x:v>ADMIN-AI-008</x:v>
      </x:c>
      <x:c r="B12" s="36" t="str">
        <x:v>AI Generated</x:v>
      </x:c>
      <x:c r="C12" s="36" t="str">
        <x:v>Authentication / scheme</x:v>
      </x:c>
      <x:c r="D12" s="36" t="str">
        <x:v>Use `Basic abc` instead of Bearer</x:v>
      </x:c>
      <x:c r="E12" s="36" t="str">
        <x:v>GET /api/admin/users</x:v>
      </x:c>
      <x:c r="F12" s="36" t="str">
        <x:v>Basic auth header</x:v>
      </x:c>
      <x:c r="G12" s="36" t="str">
        <x:v>401 or 403</x:v>
      </x:c>
      <x:c r="H12" s="36" t="str">
        <x:v>Request is rejected</x:v>
      </x:c>
      <x:c r="I12" s="36" t="str">
        <x:v>Wrong auth scheme</x:v>
      </x:c>
      <x:c r="J12" s="36" t="str">
        <x:v>INCOMPLETE</x:v>
      </x:c>
      <x:c r="K12" s="36" t="str">
        <x:v>The objective is useful, but the AI gave `401 or 403`. The middleware does not verify the Bearer scheme; it simply extracts the second space-separated component, so `Basic abc` attempts to verify `abc` as a JWT.</x:v>
      </x:c>
      <x:c r="L12" s="36" t="str">
        <x:v>Current implementation expectation: `Basic abc` → 403. Keep as protocol/authentication characterization.</x:v>
      </x:c>
      <x:c r="M12" s="36" t="str">
        <x:v>Automated Newman</x:v>
      </x:c>
      <x:c r="N12" s="36" t="str">
        <x:v>PASS</x:v>
      </x:c>
      <x:c r="O12" s="36" t="str">
        <x:v>Executed successfully; corrected/characterization assertions passed.</x:v>
      </x:c>
      <x:c r="P12" s="36" t="str"/>
      <x:c r="Q12" s="36" t="str">
        <x:v>api3_access_control_ai_generated.md; api3_access_control_audit.md</x:v>
      </x:c>
    </x:row>
    <x:row r="13" ht="48" customHeight="1">
      <x:c r="A13" s="36" t="str">
        <x:v>ADMIN-AI-009</x:v>
      </x:c>
      <x:c r="B13" s="36" t="str">
        <x:v>AI Generated</x:v>
      </x:c>
      <x:c r="C13" s="36" t="str">
        <x:v>Authentication / scheme</x:v>
      </x:c>
      <x:c r="D13" s="36" t="str">
        <x:v>Use lowercase `bearer &lt;token&gt;`</x:v>
      </x:c>
      <x:c r="E13" s="36" t="str">
        <x:v>GET /api/admin/users</x:v>
      </x:c>
      <x:c r="F13" s="36" t="str">
        <x:v>Lowercase scheme + valid admin JWT</x:v>
      </x:c>
      <x:c r="G13" s="36" t="str">
        <x:v>200 or 4xx</x:v>
      </x:c>
      <x:c r="H13" s="36" t="str">
        <x:v>Behavior is consistent and documented</x:v>
      </x:c>
      <x:c r="I13" s="36" t="str">
        <x:v>Scheme parsing</x:v>
      </x:c>
      <x:c r="J13" s="36" t="str">
        <x:v>INCOMPLETE</x:v>
      </x:c>
      <x:c r="K13" s="36" t="str">
        <x:v>The AI gave an ambiguous oracle. The middleware ignores scheme text and only uses the second token component, so lowercase `bearer &lt;valid-token&gt;` is accepted.</x:v>
      </x:c>
      <x:c r="L13" s="36" t="str">
        <x:v>Current implementation: lowercase `bearer` with a valid admin token still authenticates. Authorization must still depend on Admin role.</x:v>
      </x:c>
      <x:c r="M13" s="36" t="str">
        <x:v>Automated Newman</x:v>
      </x:c>
      <x:c r="N13" s="36" t="str">
        <x:v>PASS</x:v>
      </x:c>
      <x:c r="O13" s="36" t="str">
        <x:v>Executed successfully; corrected/characterization assertions passed.</x:v>
      </x:c>
      <x:c r="P13" s="36" t="str"/>
      <x:c r="Q13" s="36" t="str">
        <x:v>api3_access_control_ai_generated.md; api3_access_control_audit.md</x:v>
      </x:c>
    </x:row>
    <x:row r="14" ht="48" customHeight="1">
      <x:c r="A14" s="36" t="str">
        <x:v>ADMIN-AI-010</x:v>
      </x:c>
      <x:c r="B14" s="36" t="str">
        <x:v>AI Generated</x:v>
      </x:c>
      <x:c r="C14" s="36" t="str">
        <x:v>Authentication / whitespace</x:v>
      </x:c>
      <x:c r="D14" s="36" t="str">
        <x:v>Authorization header has multiple spaces before token</x:v>
      </x:c>
      <x:c r="E14" s="36" t="str">
        <x:v>GET /api/admin/users</x:v>
      </x:c>
      <x:c r="F14" s="36" t="str">
        <x:v>Bearer + multiple spaces + admin token</x:v>
      </x:c>
      <x:c r="G14" s="36" t="str">
        <x:v>200 or 4xx</x:v>
      </x:c>
      <x:c r="H14" s="36" t="str">
        <x:v>Server handles malformed spacing safely</x:v>
      </x:c>
      <x:c r="I14" s="36" t="str">
        <x:v>Header parser robustness</x:v>
      </x:c>
      <x:c r="J14" s="36" t="str">
        <x:v>INCOMPLETE</x:v>
      </x:c>
      <x:c r="K14" s="36" t="str">
        <x:v>Multiple spaces interact with `split(" ")[1]`; the exact extracted token may be empty. The spec does not define whitespace normalization.</x:v>
      </x:c>
      <x:c r="L14" s="36" t="str">
        <x:v>Retain as header-parser robustness. Establish exact 401/403 behavior during execution; do not invent a requirement.</x:v>
      </x:c>
      <x:c r="M14" s="36" t="str">
        <x:v>Automated Newman</x:v>
      </x:c>
      <x:c r="N14" s="36" t="str">
        <x:v>PASS</x:v>
      </x:c>
      <x:c r="O14" s="36" t="str">
        <x:v>Executed successfully; corrected/characterization assertions passed.</x:v>
      </x:c>
      <x:c r="P14" s="36" t="str"/>
      <x:c r="Q14" s="36" t="str">
        <x:v>api3_access_control_ai_generated.md; api3_access_control_audit.md</x:v>
      </x:c>
    </x:row>
    <x:row r="15" ht="48" customHeight="1">
      <x:c r="A15" s="36" t="str">
        <x:v>ADMIN-AI-011</x:v>
      </x:c>
      <x:c r="B15" s="36" t="str">
        <x:v>AI Generated</x:v>
      </x:c>
      <x:c r="C15" s="36" t="str">
        <x:v>Authentication / whitespace</x:v>
      </x:c>
      <x:c r="D15" s="36" t="str">
        <x:v>Authorization header has leading/trailing whitespace</x:v>
      </x:c>
      <x:c r="E15" s="36" t="str">
        <x:v>GET /api/admin/users</x:v>
      </x:c>
      <x:c r="F15" s="36" t="str">
        <x:v>Whitespace around Bearer/admin token</x:v>
      </x:c>
      <x:c r="G15" s="36" t="str">
        <x:v>200 or 4xx</x:v>
      </x:c>
      <x:c r="H15" s="36" t="str">
        <x:v>Server handles header safely</x:v>
      </x:c>
      <x:c r="I15" s="36" t="str">
        <x:v>Header parser robustness</x:v>
      </x:c>
      <x:c r="J15" s="36" t="str">
        <x:v>INCOMPLETE</x:v>
      </x:c>
      <x:c r="K15" s="36" t="str">
        <x:v>Leading/trailing Authorization whitespace behavior is not defined by the supplied spec and may be normalized by the HTTP stack before Express sees it.</x:v>
      </x:c>
      <x:c r="L15" s="36" t="str">
        <x:v>Retain as protocol characterization; require safe handling and no 5xx.</x:v>
      </x:c>
      <x:c r="M15" s="36" t="str">
        <x:v>Automated Newman</x:v>
      </x:c>
      <x:c r="N15" s="36" t="str">
        <x:v>PASS</x:v>
      </x:c>
      <x:c r="O15" s="36" t="str">
        <x:v>Executed successfully; corrected/characterization assertions passed.</x:v>
      </x:c>
      <x:c r="P15" s="36" t="str"/>
      <x:c r="Q15" s="36" t="str">
        <x:v>api3_access_control_ai_generated.md; api3_access_control_audit.md</x:v>
      </x:c>
    </x:row>
    <x:row r="16" ht="48" customHeight="1">
      <x:c r="A16" s="36" t="str">
        <x:v>ADMIN-AI-012</x:v>
      </x:c>
      <x:c r="B16" s="36" t="str">
        <x:v>AI Generated</x:v>
      </x:c>
      <x:c r="C16" s="36" t="str">
        <x:v>Authentication</x:v>
      </x:c>
      <x:c r="D16" s="36" t="str">
        <x:v>Authorization header contains two tokens</x:v>
      </x:c>
      <x:c r="E16" s="36" t="str">
        <x:v>GET /api/admin/users</x:v>
      </x:c>
      <x:c r="F16" s="36" t="str">
        <x:v>Bearer token1 token2</x:v>
      </x:c>
      <x:c r="G16" s="36" t="str">
        <x:v>4xx</x:v>
      </x:c>
      <x:c r="H16" s="36" t="str">
        <x:v>Ambiguous token header is rejected</x:v>
      </x:c>
      <x:c r="I16" s="36" t="str">
        <x:v>Header robustness</x:v>
      </x:c>
      <x:c r="J16" s="36" t="str">
        <x:v>INCOMPLETE</x:v>
      </x:c>
      <x:c r="K16" s="36" t="str">
        <x:v>The AI assumes an ambiguous multi-token header must be rejected, but the middleware simply uses the second segment. The exact outcome depends on the first extracted token.</x:v>
      </x:c>
      <x:c r="L16" s="36" t="str">
        <x:v>Retain as parser robustness; expected result should be based on observed extraction/verification, not a generic 4xx assumption.</x:v>
      </x:c>
      <x:c r="M16" s="36" t="str">
        <x:v>Automated Newman</x:v>
      </x:c>
      <x:c r="N16" s="36" t="str">
        <x:v>PASS</x:v>
      </x:c>
      <x:c r="O16" s="36" t="str">
        <x:v>Executed successfully; corrected/characterization assertions passed.</x:v>
      </x:c>
      <x:c r="P16" s="36" t="str"/>
      <x:c r="Q16" s="36" t="str">
        <x:v>api3_access_control_ai_generated.md; api3_access_control_audit.md</x:v>
      </x:c>
    </x:row>
    <x:row r="17" ht="48" customHeight="1">
      <x:c r="A17" s="36" t="str">
        <x:v>ADMIN-AI-013</x:v>
      </x:c>
      <x:c r="B17" s="36" t="str">
        <x:v>AI Generated</x:v>
      </x:c>
      <x:c r="C17" s="36" t="str">
        <x:v>Authentication</x:v>
      </x:c>
      <x:c r="D17" s="36" t="str">
        <x:v>Expired JWT</x:v>
      </x:c>
      <x:c r="E17" s="36" t="str">
        <x:v>GET /api/admin/users</x:v>
      </x:c>
      <x:c r="F17" s="36" t="str">
        <x:v>Expired signed token</x:v>
      </x:c>
      <x:c r="G17" s="36" t="str">
        <x:v>403</x:v>
      </x:c>
      <x:c r="H17" s="36" t="str">
        <x:v>Expired token is forbidden</x:v>
      </x:c>
      <x:c r="I17" s="36" t="str">
        <x:v>JWT expiry</x:v>
      </x:c>
      <x:c r="J17" s="36" t="str">
        <x:v>VALID</x:v>
      </x:c>
      <x:c r="K17" s="36" t="str">
        <x:v>JWT expiry is part of standard JWT verification behavior; `jwt.verify` rejects an expired token.</x:v>
      </x:c>
      <x:c r="L17" s="36" t="str">
        <x:v>Expired token → 403.</x:v>
      </x:c>
      <x:c r="M17" s="36" t="str">
        <x:v>Automated Newman</x:v>
      </x:c>
      <x:c r="N17" s="36" t="str">
        <x:v>PASS</x:v>
      </x:c>
      <x:c r="O17" s="36" t="str">
        <x:v>Executed successfully; corrected/characterization assertions passed.</x:v>
      </x:c>
      <x:c r="P17" s="36" t="str"/>
      <x:c r="Q17" s="36" t="str">
        <x:v>api3_access_control_ai_generated.md; api3_access_control_audit.md</x:v>
      </x:c>
    </x:row>
    <x:row r="18" ht="48" customHeight="1">
      <x:c r="A18" s="36" t="str">
        <x:v>ADMIN-AI-014</x:v>
      </x:c>
      <x:c r="B18" s="36" t="str">
        <x:v>AI Generated</x:v>
      </x:c>
      <x:c r="C18" s="36" t="str">
        <x:v>Authentication</x:v>
      </x:c>
      <x:c r="D18" s="36" t="str">
        <x:v>JWT signed with wrong secret</x:v>
      </x:c>
      <x:c r="E18" s="36" t="str">
        <x:v>GET /api/admin/users</x:v>
      </x:c>
      <x:c r="F18" s="36" t="str">
        <x:v>Wrong-secret token</x:v>
      </x:c>
      <x:c r="G18" s="36" t="str">
        <x:v>403</x:v>
      </x:c>
      <x:c r="H18" s="36" t="str">
        <x:v>Request is forbidden</x:v>
      </x:c>
      <x:c r="I18" s="36" t="str">
        <x:v>JWT signature validation</x:v>
      </x:c>
      <x:c r="J18" s="36" t="str">
        <x:v>VALID</x:v>
      </x:c>
      <x:c r="K18" s="36" t="str">
        <x:v>A token signed with a different secret must fail `jwt.verify`.</x:v>
      </x:c>
      <x:c r="L18" s="36" t="str">
        <x:v>Wrong-secret JWT → 403.</x:v>
      </x:c>
      <x:c r="M18" s="36" t="str">
        <x:v>Automated Newman</x:v>
      </x:c>
      <x:c r="N18" s="36" t="str">
        <x:v>PASS</x:v>
      </x:c>
      <x:c r="O18" s="36" t="str">
        <x:v>Executed successfully; corrected/characterization assertions passed.</x:v>
      </x:c>
      <x:c r="P18" s="36" t="str"/>
      <x:c r="Q18" s="36" t="str">
        <x:v>api3_access_control_ai_generated.md; api3_access_control_audit.md</x:v>
      </x:c>
    </x:row>
    <x:row r="19" ht="48" customHeight="1">
      <x:c r="A19" s="36" t="str">
        <x:v>ADMIN-AI-015</x:v>
      </x:c>
      <x:c r="B19" s="36" t="str">
        <x:v>AI Generated</x:v>
      </x:c>
      <x:c r="C19" s="36" t="str">
        <x:v>Authentication</x:v>
      </x:c>
      <x:c r="D19" s="36" t="str">
        <x:v>Unsigned JWT using `alg:none`</x:v>
      </x:c>
      <x:c r="E19" s="36" t="str">
        <x:v>GET /api/admin/users</x:v>
      </x:c>
      <x:c r="F19" s="36" t="str">
        <x:v>Unsigned crafted token</x:v>
      </x:c>
      <x:c r="G19" s="36" t="str">
        <x:v>403</x:v>
      </x:c>
      <x:c r="H19" s="36" t="str">
        <x:v>Request is forbidden</x:v>
      </x:c>
      <x:c r="I19" s="36" t="str">
        <x:v>JWT algorithm security</x:v>
      </x:c>
      <x:c r="J19" s="36" t="str">
        <x:v>VALID</x:v>
      </x:c>
      <x:c r="K19" s="36" t="str">
        <x:v>An unsigned `alg:none` token must not be accepted by normal `jwt.verify` with a secret.</x:v>
      </x:c>
      <x:c r="L19" s="36" t="str">
        <x:v>Unsigned JWT → 403.</x:v>
      </x:c>
      <x:c r="M19" s="36" t="str">
        <x:v>Automated Newman</x:v>
      </x:c>
      <x:c r="N19" s="36" t="str">
        <x:v>PASS</x:v>
      </x:c>
      <x:c r="O19" s="36" t="str">
        <x:v>Executed successfully; corrected/characterization assertions passed.</x:v>
      </x:c>
      <x:c r="P19" s="36" t="str"/>
      <x:c r="Q19" s="36" t="str">
        <x:v>api3_access_control_ai_generated.md; api3_access_control_audit.md</x:v>
      </x:c>
    </x:row>
    <x:row r="20" ht="48" customHeight="1">
      <x:c r="A20" s="36" t="str">
        <x:v>ADMIN-AI-016</x:v>
      </x:c>
      <x:c r="B20" s="36" t="str">
        <x:v>AI Generated</x:v>
      </x:c>
      <x:c r="C20" s="36" t="str">
        <x:v>Authentication</x:v>
      </x:c>
      <x:c r="D20" s="36" t="str">
        <x:v>JWT with malformed three-part structure</x:v>
      </x:c>
      <x:c r="E20" s="36" t="str">
        <x:v>GET /api/admin/users</x:v>
      </x:c>
      <x:c r="F20" s="36" t="str">
        <x:v>Malformed JWT</x:v>
      </x:c>
      <x:c r="G20" s="36" t="str">
        <x:v>403</x:v>
      </x:c>
      <x:c r="H20" s="36" t="str">
        <x:v>Request is forbidden</x:v>
      </x:c>
      <x:c r="I20" s="36" t="str">
        <x:v>JWT parser robustness</x:v>
      </x:c>
      <x:c r="J20" s="36" t="str">
        <x:v>VALID</x:v>
      </x:c>
      <x:c r="K20" s="36" t="str">
        <x:v>Malformed JWT structure is a valid robustness/authentication case and should fail verification.</x:v>
      </x:c>
      <x:c r="L20" s="36" t="str">
        <x:v>Malformed three-part JWT → 403.</x:v>
      </x:c>
      <x:c r="M20" s="36" t="str">
        <x:v>Automated Newman</x:v>
      </x:c>
      <x:c r="N20" s="36" t="str">
        <x:v>PASS</x:v>
      </x:c>
      <x:c r="O20" s="36" t="str">
        <x:v>Executed successfully; corrected/characterization assertions passed.</x:v>
      </x:c>
      <x:c r="P20" s="36" t="str"/>
      <x:c r="Q20" s="36" t="str">
        <x:v>api3_access_control_ai_generated.md; api3_access_control_audit.md</x:v>
      </x:c>
    </x:row>
    <x:row r="21" ht="48" customHeight="1">
      <x:c r="A21" s="36" t="str">
        <x:v>ADMIN-AI-017</x:v>
      </x:c>
      <x:c r="B21" s="36" t="str">
        <x:v>AI Generated</x:v>
      </x:c>
      <x:c r="C21" s="36" t="str">
        <x:v>Authorization / role claim</x:v>
      </x:c>
      <x:c r="D21" s="36" t="str">
        <x:v>Valid JWT carrying role=`user`</x:v>
      </x:c>
      <x:c r="E21" s="36" t="str">
        <x:v>GET /api/admin/users</x:v>
      </x:c>
      <x:c r="F21" s="36" t="str">
        <x:v>Signed normal-user JWT</x:v>
      </x:c>
      <x:c r="G21" s="36" t="str">
        <x:v>403</x:v>
      </x:c>
      <x:c r="H21" s="36" t="str">
        <x:v>Access denied</x:v>
      </x:c>
      <x:c r="I21" s="36" t="str">
        <x:v>Role enforcement</x:v>
      </x:c>
      <x:c r="J21" s="36" t="str">
        <x:v>VALID</x:v>
      </x:c>
      <x:c r="K21" s="36" t="str">
        <x:v>A signed token representing a normal user is exactly the role-based denial required by FR-12.</x:v>
      </x:c>
      <x:c r="L21" s="36" t="str">
        <x:v>Role=`user` token → authorization denied; must not receive user list.</x:v>
      </x:c>
      <x:c r="M21" s="36" t="str">
        <x:v>Automated Newman</x:v>
      </x:c>
      <x:c r="N21" s="36" t="str">
        <x:v>FAIL</x:v>
      </x:c>
      <x:c r="O21" s="36" t="str">
        <x:v>HTTP 200 with global user array for a normal-user JWT; authorization assertion failed.</x:v>
      </x:c>
      <x:c r="P21" s="36" t="str">
        <x:v>https://github.com/aohymevoL666/software-testing-homework6/issues/2</x:v>
      </x:c>
      <x:c r="Q21" s="36" t="str">
        <x:v>api3_access_control_ai_generated.md; api3_access_control_audit.md</x:v>
      </x:c>
    </x:row>
    <x:row r="22" ht="48" customHeight="1">
      <x:c r="A22" s="36" t="str">
        <x:v>ADMIN-AI-018</x:v>
      </x:c>
      <x:c r="B22" s="36" t="str">
        <x:v>AI Generated</x:v>
      </x:c>
      <x:c r="C22" s="36" t="str">
        <x:v>Authorization / role claim</x:v>
      </x:c>
      <x:c r="D22" s="36" t="str">
        <x:v>Valid JWT carrying role=`admin`</x:v>
      </x:c>
      <x:c r="E22" s="36" t="str">
        <x:v>GET /api/admin/users</x:v>
      </x:c>
      <x:c r="F22" s="36" t="str">
        <x:v>Signed admin JWT</x:v>
      </x:c>
      <x:c r="G22" s="36" t="str">
        <x:v>200</x:v>
      </x:c>
      <x:c r="H22" s="36" t="str">
        <x:v>Access allowed</x:v>
      </x:c>
      <x:c r="I22" s="36" t="str">
        <x:v>Role enforcement</x:v>
      </x:c>
      <x:c r="J22" s="36" t="str">
        <x:v>VALID</x:v>
      </x:c>
      <x:c r="K22" s="36" t="str">
        <x:v>A signed token representing an Admin is the positive role-partition case.</x:v>
      </x:c>
      <x:c r="L22" s="36" t="str">
        <x:v>Role=`admin` token → 200.</x:v>
      </x:c>
      <x:c r="M22" s="36" t="str">
        <x:v>Automated Newman</x:v>
      </x:c>
      <x:c r="N22" s="36" t="str">
        <x:v>PASS</x:v>
      </x:c>
      <x:c r="O22" s="36" t="str">
        <x:v>Executed successfully; corrected/characterization assertions passed.</x:v>
      </x:c>
      <x:c r="P22" s="36" t="str"/>
      <x:c r="Q22" s="36" t="str">
        <x:v>api3_access_control_ai_generated.md; api3_access_control_audit.md</x:v>
      </x:c>
    </x:row>
    <x:row r="23" ht="48" customHeight="1">
      <x:c r="A23" s="36" t="str">
        <x:v>ADMIN-AI-019</x:v>
      </x:c>
      <x:c r="B23" s="36" t="str">
        <x:v>AI Generated</x:v>
      </x:c>
      <x:c r="C23" s="36" t="str">
        <x:v>Authorization / role claim</x:v>
      </x:c>
      <x:c r="D23" s="36" t="str">
        <x:v>JWT role value `Admin` with uppercase A</x:v>
      </x:c>
      <x:c r="E23" s="36" t="str">
        <x:v>GET /api/admin/users</x:v>
      </x:c>
      <x:c r="F23" s="36" t="str">
        <x:v>Signed token</x:v>
      </x:c>
      <x:c r="G23" s="36" t="str">
        <x:v>403</x:v>
      </x:c>
      <x:c r="H23" s="36" t="str">
        <x:v>Role comparison should be exact or normalized per policy</x:v>
      </x:c>
      <x:c r="I23" s="36" t="str">
        <x:v>Role partition</x:v>
      </x:c>
      <x:c r="J23" s="36" t="str">
        <x:v>INCOMPLETE</x:v>
      </x:c>
      <x:c r="K23" s="36" t="str">
        <x:v>The supplied specification says Admin role but does not define case normalization. The AI invented an exact comparison policy.</x:v>
      </x:c>
      <x:c r="L23" s="36" t="str">
        <x:v>Retain as role-string characterization only if a safely generated token is available; do not claim a conformance defect from case sensitivity alone.</x:v>
      </x:c>
      <x:c r="M23" s="36" t="str">
        <x:v>Not selected</x:v>
      </x:c>
      <x:c r="N23" s="36" t="str">
        <x:v>NOT EXECUTED</x:v>
      </x:c>
      <x:c r="O23" s="36" t="str">
        <x:v>Retained after audit but not selected for the final executable suite; primarily spec-undefined/stale-token characterization.</x:v>
      </x:c>
      <x:c r="P23" s="36" t="str"/>
      <x:c r="Q23" s="36" t="str">
        <x:v>api3_access_control_ai_generated.md; api3_access_control_audit.md</x:v>
      </x:c>
    </x:row>
    <x:row r="24" ht="48" customHeight="1">
      <x:c r="A24" s="36" t="str">
        <x:v>ADMIN-AI-020</x:v>
      </x:c>
      <x:c r="B24" s="36" t="str">
        <x:v>AI Generated</x:v>
      </x:c>
      <x:c r="C24" s="36" t="str">
        <x:v>Authorization / role claim</x:v>
      </x:c>
      <x:c r="D24" s="36" t="str">
        <x:v>JWT role value `ADMIN`</x:v>
      </x:c>
      <x:c r="E24" s="36" t="str">
        <x:v>GET /api/admin/users</x:v>
      </x:c>
      <x:c r="F24" s="36" t="str">
        <x:v>Signed token</x:v>
      </x:c>
      <x:c r="G24" s="36" t="str">
        <x:v>403</x:v>
      </x:c>
      <x:c r="H24" s="36" t="str">
        <x:v>Access denied unless policy allows case-insensitive roles</x:v>
      </x:c>
      <x:c r="I24" s="36" t="str">
        <x:v>Role partition</x:v>
      </x:c>
      <x:c r="J24" s="36" t="str">
        <x:v>INCOMPLETE</x:v>
      </x:c>
      <x:c r="K24" s="36" t="str">
        <x:v>Same issue as ADMIN-AI-019: no case-normalization rule is stated.</x:v>
      </x:c>
      <x:c r="L24" s="36" t="str">
        <x:v>Retain as role-string characterization; no fabricated policy.</x:v>
      </x:c>
      <x:c r="M24" s="36" t="str">
        <x:v>Not selected</x:v>
      </x:c>
      <x:c r="N24" s="36" t="str">
        <x:v>NOT EXECUTED</x:v>
      </x:c>
      <x:c r="O24" s="36" t="str">
        <x:v>Retained after audit but not selected for the final executable suite; primarily spec-undefined/stale-token characterization.</x:v>
      </x:c>
      <x:c r="P24" s="36" t="str"/>
      <x:c r="Q24" s="36" t="str">
        <x:v>api3_access_control_ai_generated.md; api3_access_control_audit.md</x:v>
      </x:c>
    </x:row>
    <x:row r="25" ht="48" customHeight="1">
      <x:c r="A25" s="36" t="str">
        <x:v>ADMIN-AI-021</x:v>
      </x:c>
      <x:c r="B25" s="36" t="str">
        <x:v>AI Generated</x:v>
      </x:c>
      <x:c r="C25" s="36" t="str">
        <x:v>Authorization / role claim</x:v>
      </x:c>
      <x:c r="D25" s="36" t="str">
        <x:v>JWT with missing `role` claim</x:v>
      </x:c>
      <x:c r="E25" s="36" t="str">
        <x:v>GET /api/admin/users</x:v>
      </x:c>
      <x:c r="F25" s="36" t="str">
        <x:v>Signed token without role</x:v>
      </x:c>
      <x:c r="G25" s="36" t="str">
        <x:v>403</x:v>
      </x:c>
      <x:c r="H25" s="36" t="str">
        <x:v>Access denied</x:v>
      </x:c>
      <x:c r="I25" s="36" t="str">
        <x:v>Missing-role partition</x:v>
      </x:c>
      <x:c r="J25" s="36" t="str">
        <x:v>VALID</x:v>
      </x:c>
      <x:c r="K25" s="36" t="str">
        <x:v>A token without an Admin role cannot satisfy the explicit Admin-only requirement.</x:v>
      </x:c>
      <x:c r="L25" s="36" t="str">
        <x:v>Signed token lacking `role` → authorization denied.</x:v>
      </x:c>
      <x:c r="M25" s="36" t="str">
        <x:v>Not selected</x:v>
      </x:c>
      <x:c r="N25" s="36" t="str">
        <x:v>NOT EXECUTED</x:v>
      </x:c>
      <x:c r="O25" s="36" t="str">
        <x:v>Retained after audit but not selected for the final executable suite; primarily spec-undefined/stale-token characterization.</x:v>
      </x:c>
      <x:c r="P25" s="36" t="str"/>
      <x:c r="Q25" s="36" t="str">
        <x:v>api3_access_control_ai_generated.md; api3_access_control_audit.md</x:v>
      </x:c>
    </x:row>
    <x:row r="26" ht="48" customHeight="1">
      <x:c r="A26" s="36" t="str">
        <x:v>ADMIN-AI-022</x:v>
      </x:c>
      <x:c r="B26" s="36" t="str">
        <x:v>AI Generated</x:v>
      </x:c>
      <x:c r="C26" s="36" t="str">
        <x:v>Authorization / role claim</x:v>
      </x:c>
      <x:c r="D26" s="36" t="str">
        <x:v>JWT with role = null</x:v>
      </x:c>
      <x:c r="E26" s="36" t="str">
        <x:v>GET /api/admin/users</x:v>
      </x:c>
      <x:c r="F26" s="36" t="str">
        <x:v>Signed token with null role</x:v>
      </x:c>
      <x:c r="G26" s="36" t="str">
        <x:v>403</x:v>
      </x:c>
      <x:c r="H26" s="36" t="str">
        <x:v>Access denied</x:v>
      </x:c>
      <x:c r="I26" s="36" t="str">
        <x:v>Null-role partition</x:v>
      </x:c>
      <x:c r="J26" s="36" t="str">
        <x:v>VALID</x:v>
      </x:c>
      <x:c r="K26" s="36" t="str">
        <x:v>A null role is not Admin and therefore cannot satisfy the explicit Admin-only requirement.</x:v>
      </x:c>
      <x:c r="L26" s="36" t="str">
        <x:v>Signed token with `role:null` → authorization denied.</x:v>
      </x:c>
      <x:c r="M26" s="36" t="str">
        <x:v>Not selected</x:v>
      </x:c>
      <x:c r="N26" s="36" t="str">
        <x:v>NOT EXECUTED</x:v>
      </x:c>
      <x:c r="O26" s="36" t="str">
        <x:v>Retained after audit but not selected for the final executable suite; primarily spec-undefined/stale-token characterization.</x:v>
      </x:c>
      <x:c r="P26" s="36" t="str"/>
      <x:c r="Q26" s="36" t="str">
        <x:v>api3_access_control_ai_generated.md; api3_access_control_audit.md</x:v>
      </x:c>
    </x:row>
    <x:row r="27" ht="48" customHeight="1">
      <x:c r="A27" s="36" t="str">
        <x:v>ADMIN-AI-023</x:v>
      </x:c>
      <x:c r="B27" s="36" t="str">
        <x:v>AI Generated</x:v>
      </x:c>
      <x:c r="C27" s="36" t="str">
        <x:v>Authorization / role claim</x:v>
      </x:c>
      <x:c r="D27" s="36" t="str">
        <x:v>JWT with role as array containing `admin`</x:v>
      </x:c>
      <x:c r="E27" s="36" t="str">
        <x:v>GET /api/admin/users</x:v>
      </x:c>
      <x:c r="F27" s="36" t="str">
        <x:v>Signed token with non-string role</x:v>
      </x:c>
      <x:c r="G27" s="36" t="str">
        <x:v>403</x:v>
      </x:c>
      <x:c r="H27" s="36" t="str">
        <x:v>Access denied</x:v>
      </x:c>
      <x:c r="I27" s="36" t="str">
        <x:v>Type robustness</x:v>
      </x:c>
      <x:c r="J27" s="36" t="str">
        <x:v>VALID</x:v>
      </x:c>
      <x:c r="K27" s="36" t="str">
        <x:v>An array-valued role is not the Admin role required by the specification.</x:v>
      </x:c>
      <x:c r="L27" s="36" t="str">
        <x:v>Signed token with non-string role → authorization denied.</x:v>
      </x:c>
      <x:c r="M27" s="36" t="str">
        <x:v>Not selected</x:v>
      </x:c>
      <x:c r="N27" s="36" t="str">
        <x:v>NOT EXECUTED</x:v>
      </x:c>
      <x:c r="O27" s="36" t="str">
        <x:v>Retained after audit but not selected for the final executable suite; primarily spec-undefined/stale-token characterization.</x:v>
      </x:c>
      <x:c r="P27" s="36" t="str"/>
      <x:c r="Q27" s="36" t="str">
        <x:v>api3_access_control_ai_generated.md; api3_access_control_audit.md</x:v>
      </x:c>
    </x:row>
    <x:row r="28" ht="48" customHeight="1">
      <x:c r="A28" s="36" t="str">
        <x:v>ADMIN-AI-024</x:v>
      </x:c>
      <x:c r="B28" s="36" t="str">
        <x:v>AI Generated</x:v>
      </x:c>
      <x:c r="C28" s="36" t="str">
        <x:v>Authorization / identity</x:v>
      </x:c>
      <x:c r="D28" s="36" t="str">
        <x:v>Valid JWT for nonexistent user id but role=`admin`</x:v>
      </x:c>
      <x:c r="E28" s="36" t="str">
        <x:v>GET /api/admin/users</x:v>
      </x:c>
      <x:c r="F28" s="36" t="str">
        <x:v>Signed token</x:v>
      </x:c>
      <x:c r="G28" s="36" t="str">
        <x:v>403</x:v>
      </x:c>
      <x:c r="H28" s="36" t="str">
        <x:v>Access denied because backing account does not exist</x:v>
      </x:c>
      <x:c r="I28" s="36" t="str">
        <x:v>Token/account state</x:v>
      </x:c>
      <x:c r="J28" s="36" t="str">
        <x:v>INCOMPLETE</x:v>
      </x:c>
      <x:c r="K28" s="36" t="str">
        <x:v>The supplied specification requires an Admin account but does not define whether each request must re-query the database to prove the backing account still exists. The current middleware trusts signed JWT claims only.</x:v>
      </x:c>
      <x:c r="L28" s="36" t="str">
        <x:v>Retain as stale-identity/security characterization; do not assert a spec-defined 403 without a stronger account-liveness requirement.</x:v>
      </x:c>
      <x:c r="M28" s="36" t="str">
        <x:v>Not selected</x:v>
      </x:c>
      <x:c r="N28" s="36" t="str">
        <x:v>NOT EXECUTED</x:v>
      </x:c>
      <x:c r="O28" s="36" t="str">
        <x:v>Retained after audit but not selected for the final executable suite; primarily spec-undefined/stale-token characterization.</x:v>
      </x:c>
      <x:c r="P28" s="36" t="str"/>
      <x:c r="Q28" s="36" t="str">
        <x:v>api3_access_control_ai_generated.md; api3_access_control_audit.md</x:v>
      </x:c>
    </x:row>
    <x:row r="29" ht="48" customHeight="1">
      <x:c r="A29" s="36" t="str">
        <x:v>ADMIN-AI-025</x:v>
      </x:c>
      <x:c r="B29" s="36" t="str">
        <x:v>AI Generated</x:v>
      </x:c>
      <x:c r="C29" s="36" t="str">
        <x:v>Authorization / identity</x:v>
      </x:c>
      <x:c r="D29" s="36" t="str">
        <x:v>Valid JWT for deleted admin account</x:v>
      </x:c>
      <x:c r="E29" s="36" t="str">
        <x:v>GET /api/admin/users</x:v>
      </x:c>
      <x:c r="F29" s="36" t="str">
        <x:v>Previously issued admin token</x:v>
      </x:c>
      <x:c r="G29" s="36" t="str">
        <x:v>403</x:v>
      </x:c>
      <x:c r="H29" s="36" t="str">
        <x:v>Deleted account token is no longer authorized</x:v>
      </x:c>
      <x:c r="I29" s="36" t="str">
        <x:v>Stale identity</x:v>
      </x:c>
      <x:c r="J29" s="36" t="str">
        <x:v>INCOMPLETE</x:v>
      </x:c>
      <x:c r="K29" s="36" t="str">
        <x:v>Token revocation after account deletion is not specified. The AI invented prompt revocation semantics.</x:v>
      </x:c>
      <x:c r="L29" s="36" t="str">
        <x:v>Retain as stale-token characterization; do not report acceptance as a confirmed spec defect unless another requirement defines revocation.</x:v>
      </x:c>
      <x:c r="M29" s="36" t="str">
        <x:v>Not selected</x:v>
      </x:c>
      <x:c r="N29" s="36" t="str">
        <x:v>NOT EXECUTED</x:v>
      </x:c>
      <x:c r="O29" s="36" t="str">
        <x:v>Retained after audit but not selected for the final executable suite; primarily spec-undefined/stale-token characterization.</x:v>
      </x:c>
      <x:c r="P29" s="36" t="str"/>
      <x:c r="Q29" s="36" t="str">
        <x:v>api3_access_control_ai_generated.md; api3_access_control_audit.md</x:v>
      </x:c>
    </x:row>
    <x:row r="30" ht="48" customHeight="1">
      <x:c r="A30" s="36" t="str">
        <x:v>ADMIN-AI-026</x:v>
      </x:c>
      <x:c r="B30" s="36" t="str">
        <x:v>AI Generated</x:v>
      </x:c>
      <x:c r="C30" s="36" t="str">
        <x:v>Authorization / state</x:v>
      </x:c>
      <x:c r="D30" s="36" t="str">
        <x:v>Issue user token, then change DB/account role to admin, reuse old token</x:v>
      </x:c>
      <x:c r="E30" s="36" t="str">
        <x:v>GET /api/admin/users</x:v>
      </x:c>
      <x:c r="F30" s="36" t="str">
        <x:v>Old token still says user</x:v>
      </x:c>
      <x:c r="G30" s="36" t="str">
        <x:v>403</x:v>
      </x:c>
      <x:c r="H30" s="36" t="str">
        <x:v>Authorization follows current account role or requires re-login</x:v>
      </x:c>
      <x:c r="I30" s="36" t="str">
        <x:v>Role transition</x:v>
      </x:c>
      <x:c r="J30" s="36" t="str">
        <x:v>INCOMPLETE</x:v>
      </x:c>
      <x:c r="K30" s="36" t="str">
        <x:v>The spec does not define immediate token claim refresh after a user is promoted. A previously issued JWT may legitimately retain its old role until re-login/expiry.</x:v>
      </x:c>
      <x:c r="L30" s="36" t="str">
        <x:v>Retain as role-transition characterization; old token remaining non-admin is not automatically a bug.</x:v>
      </x:c>
      <x:c r="M30" s="36" t="str">
        <x:v>Not selected</x:v>
      </x:c>
      <x:c r="N30" s="36" t="str">
        <x:v>NOT EXECUTED</x:v>
      </x:c>
      <x:c r="O30" s="36" t="str">
        <x:v>Retained after audit but not selected for the final executable suite; primarily spec-undefined/stale-token characterization.</x:v>
      </x:c>
      <x:c r="P30" s="36" t="str"/>
      <x:c r="Q30" s="36" t="str">
        <x:v>api3_access_control_ai_generated.md; api3_access_control_audit.md</x:v>
      </x:c>
    </x:row>
    <x:row r="31" ht="48" customHeight="1">
      <x:c r="A31" s="36" t="str">
        <x:v>ADMIN-AI-027</x:v>
      </x:c>
      <x:c r="B31" s="36" t="str">
        <x:v>AI Generated</x:v>
      </x:c>
      <x:c r="C31" s="36" t="str">
        <x:v>Authorization / state</x:v>
      </x:c>
      <x:c r="D31" s="36" t="str">
        <x:v>Issue admin token, then demote account to user, reuse old token</x:v>
      </x:c>
      <x:c r="E31" s="36" t="str">
        <x:v>GET /api/admin/users</x:v>
      </x:c>
      <x:c r="F31" s="36" t="str">
        <x:v>Old token still says admin</x:v>
      </x:c>
      <x:c r="G31" s="36" t="str">
        <x:v>403</x:v>
      </x:c>
      <x:c r="H31" s="36" t="str">
        <x:v>Demotion revokes admin access promptly</x:v>
      </x:c>
      <x:c r="I31" s="36" t="str">
        <x:v>Role transition / stale token</x:v>
      </x:c>
      <x:c r="J31" s="36" t="str">
        <x:v>INCOMPLETE</x:v>
      </x:c>
      <x:c r="K31" s="36" t="str">
        <x:v>The AI assumes immediate privilege revocation after demotion, but the supplied spec does not define token revocation or DB role revalidation.</x:v>
      </x:c>
      <x:c r="L31" s="36" t="str">
        <x:v>Retain as stale-admin-token characterization. This may be security-relevant but requires a revocation requirement before calling it a conformance defect.</x:v>
      </x:c>
      <x:c r="M31" s="36" t="str">
        <x:v>Not selected</x:v>
      </x:c>
      <x:c r="N31" s="36" t="str">
        <x:v>NOT EXECUTED</x:v>
      </x:c>
      <x:c r="O31" s="36" t="str">
        <x:v>Retained after audit but not selected for the final executable suite; primarily spec-undefined/stale-token characterization.</x:v>
      </x:c>
      <x:c r="P31" s="36" t="str"/>
      <x:c r="Q31" s="36" t="str">
        <x:v>api3_access_control_ai_generated.md; api3_access_control_audit.md</x:v>
      </x:c>
    </x:row>
    <x:row r="32" ht="48" customHeight="1">
      <x:c r="A32" s="36" t="str">
        <x:v>ADMIN-AI-028</x:v>
      </x:c>
      <x:c r="B32" s="36" t="str">
        <x:v>AI Generated</x:v>
      </x:c>
      <x:c r="C32" s="36" t="str">
        <x:v>Authorization / privilege escalation</x:v>
      </x:c>
      <x:c r="D32" s="36" t="str">
        <x:v>Normal user attempts profile update with `role: admin`, then accesses admin users</x:v>
      </x:c>
      <x:c r="E32" s="36" t="str">
        <x:v>GET /api/admin/users</x:v>
      </x:c>
      <x:c r="F32" s="36" t="str">
        <x:v>User token + profile update helper</x:v>
      </x:c>
      <x:c r="G32" s="36" t="str">
        <x:v>403 for admin users endpoint</x:v>
      </x:c>
      <x:c r="H32" s="36" t="str">
        <x:v>Self-service profile update must not grant admin privileges</x:v>
      </x:c>
      <x:c r="I32" s="36" t="str">
        <x:v>Role escalation</x:v>
      </x:c>
      <x:c r="J32" s="36" t="str">
        <x:v>VALID</x:v>
      </x:c>
      <x:c r="K32" s="36" t="str">
        <x:v>This is supported by the supplied spec: `/api/users/me` is described as allowing only basic personal information updates, while Admin APIs require Admin role. Supplying `role:admin` must not let a normal user become an admin.</x:v>
      </x:c>
      <x:c r="L32" s="36" t="str">
        <x:v>Normal user must not obtain Admin access through profile self-update. If role escalation plus re-login enables `/api/admin/users`, report a genuine privilege-escalation bug.</x:v>
      </x:c>
      <x:c r="M32" s="36" t="str">
        <x:v>Not selected</x:v>
      </x:c>
      <x:c r="N32" s="36" t="str">
        <x:v>NOT EXECUTED</x:v>
      </x:c>
      <x:c r="O32" s="36" t="str">
        <x:v>Retained after audit but not selected for the final executable suite; primarily spec-undefined/stale-token characterization.</x:v>
      </x:c>
      <x:c r="P32" s="36" t="str"/>
      <x:c r="Q32" s="36" t="str">
        <x:v>api3_access_control_ai_generated.md; api3_access_control_audit.md</x:v>
      </x:c>
    </x:row>
    <x:row r="33" ht="48" customHeight="1">
      <x:c r="A33" s="36" t="str">
        <x:v>ADMIN-AI-029</x:v>
      </x:c>
      <x:c r="B33" s="36" t="str">
        <x:v>AI Generated</x:v>
      </x:c>
      <x:c r="C33" s="36" t="str">
        <x:v>Authorization / horizontal access</x:v>
      </x:c>
      <x:c r="D33" s="36" t="str">
        <x:v>One normal user cannot access the global user list even if their own account id is valid</x:v>
      </x:c>
      <x:c r="E33" s="36" t="str">
        <x:v>GET /api/admin/users</x:v>
      </x:c>
      <x:c r="F33" s="36" t="str">
        <x:v>Normal-user token</x:v>
      </x:c>
      <x:c r="G33" s="36" t="str">
        <x:v>403</x:v>
      </x:c>
      <x:c r="H33" s="36" t="str">
        <x:v>No global user disclosure</x:v>
      </x:c>
      <x:c r="I33" s="36" t="str">
        <x:v>Least privilege</x:v>
      </x:c>
      <x:c r="J33" s="36" t="str">
        <x:v>VALID</x:v>
      </x:c>
      <x:c r="K33" s="36" t="str">
        <x:v>This restates the explicit least-privilege property of FR-12: a normal user cannot access the global admin user list.</x:v>
      </x:c>
      <x:c r="L33" s="36" t="str">
        <x:v>Normal user → authorization denied and no global user records returned.</x:v>
      </x:c>
      <x:c r="M33" s="36" t="str">
        <x:v>Automated Newman</x:v>
      </x:c>
      <x:c r="N33" s="36" t="str">
        <x:v>FAIL</x:v>
      </x:c>
      <x:c r="O33" s="36" t="str">
        <x:v>HTTP 200 with global user array for a normal-user JWT; authorization assertion failed.</x:v>
      </x:c>
      <x:c r="P33" s="36" t="str">
        <x:v>https://github.com/aohymevoL666/software-testing-homework6/issues/2</x:v>
      </x:c>
      <x:c r="Q33" s="36" t="str">
        <x:v>api3_access_control_ai_generated.md; api3_access_control_audit.md</x:v>
      </x:c>
    </x:row>
    <x:row r="34" ht="48" customHeight="1">
      <x:c r="A34" s="36" t="str">
        <x:v>ADMIN-AI-030</x:v>
      </x:c>
      <x:c r="B34" s="36" t="str">
        <x:v>AI Generated</x:v>
      </x:c>
      <x:c r="C34" s="36" t="str">
        <x:v>Response schema</x:v>
      </x:c>
      <x:c r="D34" s="36" t="str">
        <x:v>Admin success response is a JSON array</x:v>
      </x:c>
      <x:c r="E34" s="36" t="str">
        <x:v>GET /api/admin/users</x:v>
      </x:c>
      <x:c r="F34" s="36" t="str">
        <x:v>Valid admin token</x:v>
      </x:c>
      <x:c r="G34" s="36" t="str">
        <x:v>200</x:v>
      </x:c>
      <x:c r="H34" s="36" t="str">
        <x:v>Body is an array</x:v>
      </x:c>
      <x:c r="I34" s="36" t="str">
        <x:v>Schema validation</x:v>
      </x:c>
      <x:c r="J34" s="36" t="str">
        <x:v>INCOMPLETE</x:v>
      </x:c>
      <x:c r="K34" s="36" t="str">
        <x:v>The endpoint name implies a user list and current implementation returns an array, but the supplied API spec does not formally define the response schema.</x:v>
      </x:c>
      <x:c r="L34" s="36" t="str">
        <x:v>Retain as schema characterization: successful admin response should be valid JSON and list-like; do not claim an exact schema requirement that is absent.</x:v>
      </x:c>
      <x:c r="M34" s="36" t="str">
        <x:v>Automated Newman</x:v>
      </x:c>
      <x:c r="N34" s="36" t="str">
        <x:v>PASS</x:v>
      </x:c>
      <x:c r="O34" s="36" t="str">
        <x:v>Executed successfully; corrected/characterization assertions passed.</x:v>
      </x:c>
      <x:c r="P34" s="36" t="str"/>
      <x:c r="Q34" s="36" t="str">
        <x:v>api3_access_control_ai_generated.md; api3_access_control_audit.md</x:v>
      </x:c>
    </x:row>
    <x:row r="35" ht="48" customHeight="1">
      <x:c r="A35" s="36" t="str">
        <x:v>ADMIN-AI-031</x:v>
      </x:c>
      <x:c r="B35" s="36" t="str">
        <x:v>AI Generated</x:v>
      </x:c>
      <x:c r="C35" s="36" t="str">
        <x:v>Response schema</x:v>
      </x:c>
      <x:c r="D35" s="36" t="str">
        <x:v>Each returned user contains documented/safe admin-list fields</x:v>
      </x:c>
      <x:c r="E35" s="36" t="str">
        <x:v>GET /api/admin/users</x:v>
      </x:c>
      <x:c r="F35" s="36" t="str">
        <x:v>Valid admin token</x:v>
      </x:c>
      <x:c r="G35" s="36" t="str">
        <x:v>200</x:v>
      </x:c>
      <x:c r="H35" s="36" t="str">
        <x:v>User entries contain expected fields only</x:v>
      </x:c>
      <x:c r="I35" s="36" t="str">
        <x:v>Schema validation</x:v>
      </x:c>
      <x:c r="J35" s="36" t="str">
        <x:v>INCOMPLETE</x:v>
      </x:c>
      <x:c r="K35" s="36" t="str">
        <x:v>The AI refers to 'documented/safe admin-list fields', but the supplied spec does not document the fields returned by this endpoint.</x:v>
      </x:c>
      <x:c r="L35" s="36" t="str">
        <x:v>Retain as response-shape characterization using observed fields; do not claim exact-field conformance.</x:v>
      </x:c>
      <x:c r="M35" s="36" t="str">
        <x:v>Automated Newman</x:v>
      </x:c>
      <x:c r="N35" s="36" t="str">
        <x:v>PASS</x:v>
      </x:c>
      <x:c r="O35" s="36" t="str">
        <x:v>Executed successfully; corrected/characterization assertions passed.</x:v>
      </x:c>
      <x:c r="P35" s="36" t="str"/>
      <x:c r="Q35" s="36" t="str">
        <x:v>api3_access_control_ai_generated.md; api3_access_control_audit.md</x:v>
      </x:c>
    </x:row>
    <x:row r="36" ht="48" customHeight="1">
      <x:c r="A36" s="36" t="str">
        <x:v>ADMIN-AI-032</x:v>
      </x:c>
      <x:c r="B36" s="36" t="str">
        <x:v>AI Generated</x:v>
      </x:c>
      <x:c r="C36" s="36" t="str">
        <x:v>Security / sensitive data</x:v>
      </x:c>
      <x:c r="D36" s="36" t="str">
        <x:v>Admin list must not expose password</x:v>
      </x:c>
      <x:c r="E36" s="36" t="str">
        <x:v>GET /api/admin/users</x:v>
      </x:c>
      <x:c r="F36" s="36" t="str">
        <x:v>Valid admin token</x:v>
      </x:c>
      <x:c r="G36" s="36" t="str">
        <x:v>200</x:v>
      </x:c>
      <x:c r="H36" s="36" t="str">
        <x:v>No entry contains `password`</x:v>
      </x:c>
      <x:c r="I36" s="36" t="str">
        <x:v>Sensitive-data exposure</x:v>
      </x:c>
      <x:c r="J36" s="36" t="str">
        <x:v>VALID</x:v>
      </x:c>
      <x:c r="K36" s="36" t="str">
        <x:v>Even though the response schema is not fully documented, returning plaintext account passwords in an administrative list would be a clear sensitive-data exposure. The implementation query intentionally excludes `password`.</x:v>
      </x:c>
      <x:c r="L36" s="36" t="str">
        <x:v>Admin response must not expose `password`.</x:v>
      </x:c>
      <x:c r="M36" s="36" t="str">
        <x:v>Automated Newman</x:v>
      </x:c>
      <x:c r="N36" s="36" t="str">
        <x:v>PASS</x:v>
      </x:c>
      <x:c r="O36" s="36" t="str">
        <x:v>Executed successfully; corrected/characterization assertions passed.</x:v>
      </x:c>
      <x:c r="P36" s="36" t="str"/>
      <x:c r="Q36" s="36" t="str">
        <x:v>api3_access_control_ai_generated.md; api3_access_control_audit.md</x:v>
      </x:c>
    </x:row>
    <x:row r="37" ht="48" customHeight="1">
      <x:c r="A37" s="36" t="str">
        <x:v>ADMIN-AI-033</x:v>
      </x:c>
      <x:c r="B37" s="36" t="str">
        <x:v>AI Generated</x:v>
      </x:c>
      <x:c r="C37" s="36" t="str">
        <x:v>Security / sensitive data</x:v>
      </x:c>
      <x:c r="D37" s="36" t="str">
        <x:v>Admin list must not expose reset token</x:v>
      </x:c>
      <x:c r="E37" s="36" t="str">
        <x:v>GET /api/admin/users</x:v>
      </x:c>
      <x:c r="F37" s="36" t="str">
        <x:v>Valid admin token</x:v>
      </x:c>
      <x:c r="G37" s="36" t="str">
        <x:v>200</x:v>
      </x:c>
      <x:c r="H37" s="36" t="str">
        <x:v>No entry contains `reset_token`</x:v>
      </x:c>
      <x:c r="I37" s="36" t="str">
        <x:v>Sensitive-data exposure</x:v>
      </x:c>
      <x:c r="J37" s="36" t="str">
        <x:v>VALID</x:v>
      </x:c>
      <x:c r="K37" s="36" t="str">
        <x:v>A reset token is authentication-sensitive data and should not be disclosed in a bulk user-list response. The implementation query excludes it.</x:v>
      </x:c>
      <x:c r="L37" s="36" t="str">
        <x:v>Admin response must not expose `reset_token`.</x:v>
      </x:c>
      <x:c r="M37" s="36" t="str">
        <x:v>Automated Newman</x:v>
      </x:c>
      <x:c r="N37" s="36" t="str">
        <x:v>PASS</x:v>
      </x:c>
      <x:c r="O37" s="36" t="str">
        <x:v>Executed successfully; corrected/characterization assertions passed.</x:v>
      </x:c>
      <x:c r="P37" s="36" t="str"/>
      <x:c r="Q37" s="36" t="str">
        <x:v>api3_access_control_ai_generated.md; api3_access_control_audit.md</x:v>
      </x:c>
    </x:row>
    <x:row r="38" ht="48" customHeight="1">
      <x:c r="A38" s="36" t="str">
        <x:v>ADMIN-AI-034</x:v>
      </x:c>
      <x:c r="B38" s="36" t="str">
        <x:v>AI Generated</x:v>
      </x:c>
      <x:c r="C38" s="36" t="str">
        <x:v>Security / sensitive data</x:v>
      </x:c>
      <x:c r="D38" s="36" t="str">
        <x:v>Admin list must not expose JWT/token values</x:v>
      </x:c>
      <x:c r="E38" s="36" t="str">
        <x:v>GET /api/admin/users</x:v>
      </x:c>
      <x:c r="F38" s="36" t="str">
        <x:v>Valid admin token</x:v>
      </x:c>
      <x:c r="G38" s="36" t="str">
        <x:v>200</x:v>
      </x:c>
      <x:c r="H38" s="36" t="str">
        <x:v>No auth tokens are present in response</x:v>
      </x:c>
      <x:c r="I38" s="36" t="str">
        <x:v>Sensitive-data exposure</x:v>
      </x:c>
      <x:c r="J38" s="36" t="str">
        <x:v>VALID</x:v>
      </x:c>
      <x:c r="K38" s="36" t="str">
        <x:v>Authentication tokens must not be present in a user-list response. This is a defensible security property even though the spec does not enumerate response fields.</x:v>
      </x:c>
      <x:c r="L38" s="36" t="str">
        <x:v>No JWT/access token values in response.</x:v>
      </x:c>
      <x:c r="M38" s="36" t="str">
        <x:v>Automated Newman</x:v>
      </x:c>
      <x:c r="N38" s="36" t="str">
        <x:v>PASS</x:v>
      </x:c>
      <x:c r="O38" s="36" t="str">
        <x:v>Executed successfully; corrected/characterization assertions passed.</x:v>
      </x:c>
      <x:c r="P38" s="36" t="str"/>
      <x:c r="Q38" s="36" t="str">
        <x:v>api3_access_control_ai_generated.md; api3_access_control_audit.md</x:v>
      </x:c>
    </x:row>
    <x:row r="39" ht="48" customHeight="1">
      <x:c r="A39" s="36" t="str">
        <x:v>ADMIN-AI-035</x:v>
      </x:c>
      <x:c r="B39" s="36" t="str">
        <x:v>AI Generated</x:v>
      </x:c>
      <x:c r="C39" s="36" t="str">
        <x:v>Security / privacy</x:v>
      </x:c>
      <x:c r="D39" s="36" t="str">
        <x:v>Normal user response must not reveal any user records in unauthorized case</x:v>
      </x:c>
      <x:c r="E39" s="36" t="str">
        <x:v>GET /api/admin/users</x:v>
      </x:c>
      <x:c r="F39" s="36" t="str">
        <x:v>Normal-user token</x:v>
      </x:c>
      <x:c r="G39" s="36" t="str">
        <x:v>403</x:v>
      </x:c>
      <x:c r="H39" s="36" t="str">
        <x:v>No user list or PII is returned</x:v>
      </x:c>
      <x:c r="I39" s="36" t="str">
        <x:v>Authorization + information disclosure</x:v>
      </x:c>
      <x:c r="J39" s="36" t="str">
        <x:v>VALID</x:v>
      </x:c>
      <x:c r="K39" s="36" t="str">
        <x:v>This is a direct information-disclosure consequence of FR-12. An unauthorized normal user must not receive the global user data.</x:v>
      </x:c>
      <x:c r="L39" s="36" t="str">
        <x:v>Normal user → authorization denied; response contains no user records/PII.</x:v>
      </x:c>
      <x:c r="M39" s="36" t="str">
        <x:v>Automated Newman</x:v>
      </x:c>
      <x:c r="N39" s="36" t="str">
        <x:v>FAIL</x:v>
      </x:c>
      <x:c r="O39" s="36" t="str">
        <x:v>HTTP 200 with global user array for a normal-user JWT; authorization assertion failed.</x:v>
      </x:c>
      <x:c r="P39" s="36" t="str">
        <x:v>https://github.com/aohymevoL666/software-testing-homework6/issues/2</x:v>
      </x:c>
      <x:c r="Q39" s="36" t="str">
        <x:v>api3_access_control_ai_generated.md; api3_access_control_audit.md</x:v>
      </x:c>
    </x:row>
    <x:row r="40" ht="48" customHeight="1">
      <x:c r="A40" s="36" t="str">
        <x:v>ADMIN-AI-036</x:v>
      </x:c>
      <x:c r="B40" s="36" t="str">
        <x:v>AI Generated</x:v>
      </x:c>
      <x:c r="C40" s="36" t="str">
        <x:v>HTTP method</x:v>
      </x:c>
      <x:c r="D40" s="36" t="str">
        <x:v>POST request to `/api/admin/users`</x:v>
      </x:c>
      <x:c r="E40" s="36" t="str">
        <x:v>GET /api/admin/users</x:v>
      </x:c>
      <x:c r="F40" s="36" t="str">
        <x:v>Valid admin token</x:v>
      </x:c>
      <x:c r="G40" s="36" t="str">
        <x:v>404/405</x:v>
      </x:c>
      <x:c r="H40" s="36" t="str">
        <x:v>Unsupported method is rejected</x:v>
      </x:c>
      <x:c r="I40" s="36" t="str">
        <x:v>Method partition</x:v>
      </x:c>
      <x:c r="J40" s="36" t="str">
        <x:v>VALID</x:v>
      </x:c>
      <x:c r="K40" s="36" t="str">
        <x:v>POST is not defined for `/api/admin/users`; exercising an unsupported method is a valid protocol/route test.</x:v>
      </x:c>
      <x:c r="L40" s="36" t="str">
        <x:v>POST `/api/admin/users` → 404 or 405; no user-list disclosure.</x:v>
      </x:c>
      <x:c r="M40" s="36" t="str">
        <x:v>Automated Newman</x:v>
      </x:c>
      <x:c r="N40" s="36" t="str">
        <x:v>PASS</x:v>
      </x:c>
      <x:c r="O40" s="36" t="str">
        <x:v>Executed successfully; corrected/characterization assertions passed.</x:v>
      </x:c>
      <x:c r="P40" s="36" t="str"/>
      <x:c r="Q40" s="36" t="str">
        <x:v>api3_access_control_ai_generated.md; api3_access_control_audit.md</x:v>
      </x:c>
    </x:row>
    <x:row r="41" ht="48" customHeight="1">
      <x:c r="A41" s="36" t="str">
        <x:v>ADMIN-AI-037</x:v>
      </x:c>
      <x:c r="B41" s="36" t="str">
        <x:v>AI Generated</x:v>
      </x:c>
      <x:c r="C41" s="36" t="str">
        <x:v>HTTP method</x:v>
      </x:c>
      <x:c r="D41" s="36" t="str">
        <x:v>PUT request to `/api/admin/users`</x:v>
      </x:c>
      <x:c r="E41" s="36" t="str">
        <x:v>GET /api/admin/users</x:v>
      </x:c>
      <x:c r="F41" s="36" t="str">
        <x:v>Valid admin token</x:v>
      </x:c>
      <x:c r="G41" s="36" t="str">
        <x:v>404/405</x:v>
      </x:c>
      <x:c r="H41" s="36" t="str">
        <x:v>Unsupported method is rejected</x:v>
      </x:c>
      <x:c r="I41" s="36" t="str">
        <x:v>Method partition</x:v>
      </x:c>
      <x:c r="J41" s="36" t="str">
        <x:v>VALID</x:v>
      </x:c>
      <x:c r="K41" s="36" t="str">
        <x:v>PUT is not defined for `/api/admin/users`; unsupported method testing is valid.</x:v>
      </x:c>
      <x:c r="L41" s="36" t="str">
        <x:v>PUT `/api/admin/users` → 404 or 405.</x:v>
      </x:c>
      <x:c r="M41" s="36" t="str">
        <x:v>Automated Newman</x:v>
      </x:c>
      <x:c r="N41" s="36" t="str">
        <x:v>PASS</x:v>
      </x:c>
      <x:c r="O41" s="36" t="str">
        <x:v>Executed successfully; corrected/characterization assertions passed.</x:v>
      </x:c>
      <x:c r="P41" s="36" t="str"/>
      <x:c r="Q41" s="36" t="str">
        <x:v>api3_access_control_ai_generated.md; api3_access_control_audit.md</x:v>
      </x:c>
    </x:row>
    <x:row r="42" ht="48" customHeight="1">
      <x:c r="A42" s="36" t="str">
        <x:v>ADMIN-AI-038</x:v>
      </x:c>
      <x:c r="B42" s="36" t="str">
        <x:v>AI Generated</x:v>
      </x:c>
      <x:c r="C42" s="36" t="str">
        <x:v>HTTP method</x:v>
      </x:c>
      <x:c r="D42" s="36" t="str">
        <x:v>DELETE request to `/api/admin/users` without id</x:v>
      </x:c>
      <x:c r="E42" s="36" t="str">
        <x:v>GET /api/admin/users</x:v>
      </x:c>
      <x:c r="F42" s="36" t="str">
        <x:v>Valid admin token</x:v>
      </x:c>
      <x:c r="G42" s="36" t="str">
        <x:v>404/405</x:v>
      </x:c>
      <x:c r="H42" s="36" t="str">
        <x:v>Unsupported route/method is rejected</x:v>
      </x:c>
      <x:c r="I42" s="36" t="str">
        <x:v>Method/route partition</x:v>
      </x:c>
      <x:c r="J42" s="36" t="str">
        <x:v>VALID</x:v>
      </x:c>
      <x:c r="K42" s="36" t="str">
        <x:v>DELETE is only specified for `/api/admin/users/:id`, not for the collection path without an id.</x:v>
      </x:c>
      <x:c r="L42" s="36" t="str">
        <x:v>DELETE `/api/admin/users` → 404 or 405.</x:v>
      </x:c>
      <x:c r="M42" s="36" t="str">
        <x:v>Automated Newman</x:v>
      </x:c>
      <x:c r="N42" s="36" t="str">
        <x:v>PASS</x:v>
      </x:c>
      <x:c r="O42" s="36" t="str">
        <x:v>Executed successfully; corrected/characterization assertions passed.</x:v>
      </x:c>
      <x:c r="P42" s="36" t="str"/>
      <x:c r="Q42" s="36" t="str">
        <x:v>api3_access_control_ai_generated.md; api3_access_control_audit.md</x:v>
      </x:c>
    </x:row>
    <x:row r="43" ht="48" customHeight="1">
      <x:c r="A43" s="36" t="str">
        <x:v>ADMIN-AI-039</x:v>
      </x:c>
      <x:c r="B43" s="36" t="str">
        <x:v>AI Generated</x:v>
      </x:c>
      <x:c r="C43" s="36" t="str">
        <x:v>Protocol</x:v>
      </x:c>
      <x:c r="D43" s="36" t="str">
        <x:v>GET with JSON request body</x:v>
      </x:c>
      <x:c r="E43" s="36" t="str">
        <x:v>GET /api/admin/users</x:v>
      </x:c>
      <x:c r="F43" s="36" t="str">
        <x:v>Valid admin token</x:v>
      </x:c>
      <x:c r="G43" s="36" t="str">
        <x:v>200 or 4xx</x:v>
      </x:c>
      <x:c r="H43" s="36" t="str">
        <x:v>Server handles unusual GET body safely</x:v>
      </x:c>
      <x:c r="I43" s="36" t="str">
        <x:v>Protocol robustness</x:v>
      </x:c>
      <x:c r="J43" s="36" t="str">
        <x:v>INCOMPLETE</x:v>
      </x:c>
      <x:c r="K43" s="36" t="str">
        <x:v>The spec does not define behavior for a GET request body. The security objective is simply safe handling, not a specific success/error status.</x:v>
      </x:c>
      <x:c r="L43" s="36" t="str">
        <x:v>Retain as protocol robustness: no 5xx; authorization rules must still apply.</x:v>
      </x:c>
      <x:c r="M43" s="36" t="str">
        <x:v>Automated Newman</x:v>
      </x:c>
      <x:c r="N43" s="36" t="str">
        <x:v>PASS</x:v>
      </x:c>
      <x:c r="O43" s="36" t="str">
        <x:v>Executed successfully; corrected/characterization assertions passed.</x:v>
      </x:c>
      <x:c r="P43" s="36" t="str"/>
      <x:c r="Q43" s="36" t="str">
        <x:v>api3_access_control_ai_generated.md; api3_access_control_audit.md</x:v>
      </x:c>
    </x:row>
    <x:row r="44" ht="48" customHeight="1">
      <x:c r="A44" s="36" t="str">
        <x:v>ADMIN-AI-040</x:v>
      </x:c>
      <x:c r="B44" s="36" t="str">
        <x:v>AI Generated</x:v>
      </x:c>
      <x:c r="C44" s="36" t="str">
        <x:v>Protocol</x:v>
      </x:c>
      <x:c r="D44" s="36" t="str">
        <x:v>GET with unsupported `Content-Type: text/plain` and no body</x:v>
      </x:c>
      <x:c r="E44" s="36" t="str">
        <x:v>GET /api/admin/users</x:v>
      </x:c>
      <x:c r="F44" s="36" t="str">
        <x:v>Valid admin token</x:v>
      </x:c>
      <x:c r="G44" s="36" t="str">
        <x:v>200</x:v>
      </x:c>
      <x:c r="H44" s="36" t="str">
        <x:v>Content-Type should not affect bodyless GET authorization</x:v>
      </x:c>
      <x:c r="I44" s="36" t="str">
        <x:v>Protocol robustness</x:v>
      </x:c>
      <x:c r="J44" s="36" t="str">
        <x:v>VALID</x:v>
      </x:c>
      <x:c r="K44" s="36" t="str">
        <x:v>A bodyless GET does not depend on JSON content parsing; adding `Content-Type:text/plain` should not bypass authentication/authorization.</x:v>
      </x:c>
      <x:c r="L44" s="36" t="str">
        <x:v>Admin token still receives normal admin response; normal-user token must still be denied.</x:v>
      </x:c>
      <x:c r="M44" s="36" t="str">
        <x:v>Automated Newman</x:v>
      </x:c>
      <x:c r="N44" s="36" t="str">
        <x:v>PASS</x:v>
      </x:c>
      <x:c r="O44" s="36" t="str">
        <x:v>Executed successfully; corrected/characterization assertions passed.</x:v>
      </x:c>
      <x:c r="P44" s="36" t="str"/>
      <x:c r="Q44" s="36" t="str">
        <x:v>api3_access_control_ai_generated.md; api3_access_control_audit.md</x:v>
      </x:c>
    </x:row>
    <x:row r="45" ht="48" customHeight="1">
      <x:c r="A45" s="36" t="str">
        <x:v>ADMIN-AI-041</x:v>
      </x:c>
      <x:c r="B45" s="36" t="str">
        <x:v>AI Generated</x:v>
      </x:c>
      <x:c r="C45" s="36" t="str">
        <x:v>State / lockout</x:v>
      </x:c>
      <x:c r="D45" s="36" t="str">
        <x:v>Locked normal user token attempts admin users endpoint</x:v>
      </x:c>
      <x:c r="E45" s="36" t="str">
        <x:v>GET /api/admin/users</x:v>
      </x:c>
      <x:c r="F45" s="36" t="str">
        <x:v>Valid token from account later locked</x:v>
      </x:c>
      <x:c r="G45" s="36" t="str">
        <x:v>403</x:v>
      </x:c>
      <x:c r="H45" s="36" t="str">
        <x:v>Locked/non-admin user cannot access admin data</x:v>
      </x:c>
      <x:c r="I45" s="36" t="str">
        <x:v>Account-state authorization</x:v>
      </x:c>
      <x:c r="J45" s="36" t="str">
        <x:v>INCOMPLETE</x:v>
      </x:c>
      <x:c r="K45" s="36" t="str">
        <x:v>The supplied materials define login lockout behavior, but they do not state that an already issued token must be revoked when the account becomes locked.</x:v>
      </x:c>
      <x:c r="L45" s="36" t="str">
        <x:v>Retain as locked-user stale-token characterization; do not invent revocation semantics.</x:v>
      </x:c>
      <x:c r="M45" s="36" t="str">
        <x:v>Not selected</x:v>
      </x:c>
      <x:c r="N45" s="36" t="str">
        <x:v>NOT EXECUTED</x:v>
      </x:c>
      <x:c r="O45" s="36" t="str">
        <x:v>Retained after audit but not selected for the final executable suite; primarily spec-undefined/stale-token characterization.</x:v>
      </x:c>
      <x:c r="P45" s="36" t="str"/>
      <x:c r="Q45" s="36" t="str">
        <x:v>api3_access_control_ai_generated.md; api3_access_control_audit.md</x:v>
      </x:c>
    </x:row>
    <x:row r="46" ht="48" customHeight="1">
      <x:c r="A46" s="36" t="str">
        <x:v>ADMIN-AI-042</x:v>
      </x:c>
      <x:c r="B46" s="36" t="str">
        <x:v>AI Generated</x:v>
      </x:c>
      <x:c r="C46" s="36" t="str">
        <x:v>State / lockout</x:v>
      </x:c>
      <x:c r="D46" s="36" t="str">
        <x:v>Locked admin account token attempts admin users endpoint</x:v>
      </x:c>
      <x:c r="E46" s="36" t="str">
        <x:v>GET /api/admin/users</x:v>
      </x:c>
      <x:c r="F46" s="36" t="str">
        <x:v>Previously issued admin token</x:v>
      </x:c>
      <x:c r="G46" s="36" t="str">
        <x:v>403</x:v>
      </x:c>
      <x:c r="H46" s="36" t="str">
        <x:v>Locked admin should not retain privileged access</x:v>
      </x:c>
      <x:c r="I46" s="36" t="str">
        <x:v>Account-state authorization</x:v>
      </x:c>
      <x:c r="J46" s="36" t="str">
        <x:v>INCOMPLETE</x:v>
      </x:c>
      <x:c r="K46" s="36" t="str">
        <x:v>Same as ADMIN-AI-041: prompt revocation of a previously issued admin JWT on lockout is not explicitly specified.</x:v>
      </x:c>
      <x:c r="L46" s="36" t="str">
        <x:v>Retain as high-value security characterization, but acceptance is not automatically a spec defect without a token-revocation requirement.</x:v>
      </x:c>
      <x:c r="M46" s="36" t="str">
        <x:v>Not selected</x:v>
      </x:c>
      <x:c r="N46" s="36" t="str">
        <x:v>NOT EXECUTED</x:v>
      </x:c>
      <x:c r="O46" s="36" t="str">
        <x:v>Retained after audit but not selected for the final executable suite; primarily spec-undefined/stale-token characterization.</x:v>
      </x:c>
      <x:c r="P46" s="36" t="str"/>
      <x:c r="Q46" s="36" t="str">
        <x:v>api3_access_control_ai_generated.md; api3_access_control_audit.md</x:v>
      </x:c>
    </x:row>
    <x:row r="47" ht="48" customHeight="1">
      <x:c r="A47" s="36" t="str">
        <x:v>ADMIN-HUM-001</x:v>
      </x:c>
      <x:c r="B47" s="36" t="str">
        <x:v>Human Extension</x:v>
      </x:c>
      <x:c r="C47" s="36" t="str">
        <x:v>Authorization / direct access</x:v>
      </x:c>
      <x:c r="D47" s="36" t="str">
        <x:v>Use the seeded normal-user account to access the global admin user list.</x:v>
      </x:c>
      <x:c r="E47" s="36" t="str">
        <x:v>Login as `test@eshop.com` / `Test1234!`, then call `GET /api/admin/users` with the returned JWT.</x:v>
      </x:c>
      <x:c r="F47" s="36" t="str"/>
      <x:c r="G47" s="36" t="str"/>
      <x:c r="H47" s="36" t="str"/>
      <x:c r="I47" s="36" t="str">
        <x:v>The AI had several equivalent normal-user denial cases, but this human case anchors the test to the actual seeded non-admin account and to directly observable global-user disclosure.</x:v>
      </x:c>
      <x:c r="J47" s="36" t="str">
        <x:v>HUMAN EXTENSION</x:v>
      </x:c>
      <x:c r="K47" s="36" t="str">
        <x:v>Added after the AI audit to cover a gap or strengthen evidence.</x:v>
      </x:c>
      <x:c r="L47" s="36" t="str">
        <x:v>Must be denied because the supplied API specification states Admin APIs require an Admin account. Any `200` response containing the user list is a genuine FR-12 broken-access-control defect.</x:v>
      </x:c>
      <x:c r="M47" s="36" t="str">
        <x:v>Automated Newman</x:v>
      </x:c>
      <x:c r="N47" s="36" t="str">
        <x:v>FAIL</x:v>
      </x:c>
      <x:c r="O47" s="36" t="str">
        <x:v>HTTP 200 with global user array for a normal-user JWT; authorization assertion failed.</x:v>
      </x:c>
      <x:c r="P47" s="36" t="str">
        <x:v>https://github.com/aohymevoL666/software-testing-homework6/issues/2</x:v>
      </x:c>
      <x:c r="Q47" s="36" t="str">
        <x:v>api3_access_control_human_extension.md</x:v>
      </x:c>
    </x:row>
    <x:row r="48" ht="48" customHeight="1">
      <x:c r="A48" s="36" t="str">
        <x:v>ADMIN-HUM-002</x:v>
      </x:c>
      <x:c r="B48" s="36" t="str">
        <x:v>Human Extension</x:v>
      </x:c>
      <x:c r="C48" s="36" t="str">
        <x:v>Privilege escalation / profile update</x:v>
      </x:c>
      <x:c r="D48" s="36" t="str">
        <x:v>Attempt to self-promote a normal user through `PUT /api/users/me` using `role: "admin"`, then re-login and access the admin user list.</x:v>
      </x:c>
      <x:c r="E48" s="36" t="str">
        <x:v>1) Login as normal user. 2) `PUT /api/users/me` with basic profile fields plus `role:"admin"`. 3) Login again. 4) Call `GET /api/admin/users`.</x:v>
      </x:c>
      <x:c r="F48" s="36" t="str"/>
      <x:c r="G48" s="36" t="str"/>
      <x:c r="H48" s="36" t="str"/>
      <x:c r="I48" s="36" t="str">
        <x:v>The AI proposed the escalation concept, but did not define the full end-to-end state transition needed to prove persistence of the unauthorized role change.</x:v>
      </x:c>
      <x:c r="J48" s="36" t="str">
        <x:v>HUMAN EXTENSION</x:v>
      </x:c>
      <x:c r="K48" s="36" t="str">
        <x:v>Added after the AI audit to cover a gap or strengthen evidence.</x:v>
      </x:c>
      <x:c r="L48" s="36" t="str">
        <x:v>The user must not gain Admin privilege through the personal-profile endpoint. If re-login returns role `admin` and `/api/admin/users` becomes accessible, report a genuine vertical privilege-escalation defect.</x:v>
      </x:c>
      <x:c r="M48" s="36" t="str">
        <x:v>Automated Newman</x:v>
      </x:c>
      <x:c r="N48" s="36" t="str">
        <x:v>FAIL</x:v>
      </x:c>
      <x:c r="O48" s="36" t="str">
        <x:v>Profile update accepted role:"admin"; re-login returned role admin; subsequent admin-list request returned HTTP 200.</x:v>
      </x:c>
      <x:c r="P48" s="36" t="str">
        <x:v>https://github.com/aohymevoL666/software-testing-homework6/issues/4</x:v>
      </x:c>
      <x:c r="Q48" s="36" t="str">
        <x:v>api3_access_control_human_extension.md</x:v>
      </x:c>
    </x:row>
    <x:row r="49" ht="48" customHeight="1">
      <x:c r="A49" s="36" t="str">
        <x:v>ADMIN-HUM-003</x:v>
      </x:c>
      <x:c r="B49" s="36" t="str">
        <x:v>Human Extension</x:v>
      </x:c>
      <x:c r="C49" s="36" t="str">
        <x:v>Authorization / response disclosure</x:v>
      </x:c>
      <x:c r="D49" s="36" t="str">
        <x:v>Verify that an unauthorized normal-user response never includes global user records or PII.</x:v>
      </x:c>
      <x:c r="E49" s="36" t="str">
        <x:v>Call `GET /api/admin/users` with a valid normal-user JWT and inspect both status and body.</x:v>
      </x:c>
      <x:c r="F49" s="36" t="str"/>
      <x:c r="G49" s="36" t="str"/>
      <x:c r="H49" s="36" t="str"/>
      <x:c r="I49" s="36" t="str">
        <x:v>The AI separated role denial and information-disclosure checks; this case combines them into a single evidence-oriented oracle.</x:v>
      </x:c>
      <x:c r="J49" s="36" t="str">
        <x:v>HUMAN EXTENSION</x:v>
      </x:c>
      <x:c r="K49" s="36" t="str">
        <x:v>Added after the AI audit to cover a gap or strengthen evidence.</x:v>
      </x:c>
      <x:c r="L49" s="36" t="str">
        <x:v>Authorization must be denied, and the body must not contain user-list data such as other users' email, role, or shipping address.</x:v>
      </x:c>
      <x:c r="M49" s="36" t="str">
        <x:v>Automated Newman</x:v>
      </x:c>
      <x:c r="N49" s="36" t="str">
        <x:v>FAIL</x:v>
      </x:c>
      <x:c r="O49" s="36" t="str">
        <x:v>HTTP 200 with global user array for a normal-user JWT; authorization assertion failed.</x:v>
      </x:c>
      <x:c r="P49" s="36" t="str">
        <x:v>https://github.com/aohymevoL666/software-testing-homework6/issues/2</x:v>
      </x:c>
      <x:c r="Q49" s="36" t="str">
        <x:v>api3_access_control_human_extension.md</x:v>
      </x:c>
    </x:row>
    <x:row r="50" ht="48" customHeight="1">
      <x:c r="A50" s="36" t="str">
        <x:v>ADMIN-HUM-004</x:v>
      </x:c>
      <x:c r="B50" s="36" t="str">
        <x:v>Human Extension</x:v>
      </x:c>
      <x:c r="C50" s="36" t="str">
        <x:v>Authentication / scheme bypass</x:v>
      </x:c>
      <x:c r="D50" s="36" t="str">
        <x:v>Send a valid admin JWT using a non-Bearer scheme to determine whether the middleware actually enforces the documented Bearer scheme.</x:v>
      </x:c>
      <x:c r="E50" s="36" t="str">
        <x:v>Use `Authorization: Basic &lt;valid-admin-jwt&gt;` on `GET /api/admin/users`.</x:v>
      </x:c>
      <x:c r="F50" s="36" t="str"/>
      <x:c r="G50" s="36" t="str"/>
      <x:c r="H50" s="36" t="str"/>
      <x:c r="I50" s="36" t="str">
        <x:v>The AI used `Basic abc`, which only proves that an invalid token fails verification. It did not pair the wrong scheme with a valid JWT to expose the middleware's scheme-agnostic parsing.</x:v>
      </x:c>
      <x:c r="J50" s="36" t="str">
        <x:v>HUMAN EXTENSION</x:v>
      </x:c>
      <x:c r="K50" s="36" t="str">
        <x:v>Added after the AI audit to cover a gap or strengthen evidence.</x:v>
      </x:c>
      <x:c r="L50" s="36" t="str">
        <x:v>The specification requires `Authorization: Bearer &lt;token&gt;`. A non-Bearer scheme should not be accepted as compliant authentication. If the request succeeds, record a protocol/authentication-bypass defect against the documented scheme requirement.</x:v>
      </x:c>
      <x:c r="M50" s="36" t="str">
        <x:v>Automated Newman</x:v>
      </x:c>
      <x:c r="N50" s="36" t="str">
        <x:v>FAIL</x:v>
      </x:c>
      <x:c r="O50" s="36" t="str">
        <x:v>HTTP 200 using Authorization: Basic &lt;valid-admin-JWT&gt;; Bearer-scheme assertion failed.</x:v>
      </x:c>
      <x:c r="P50" s="36" t="str">
        <x:v>https://github.com/aohymevoL666/software-testing-homework6/issues/3</x:v>
      </x:c>
      <x:c r="Q50" s="36" t="str">
        <x:v>api3_access_control_human_extension.md</x:v>
      </x:c>
    </x:row>
    <x:row r="51" ht="48" customHeight="1">
      <x:c r="A51" s="36" t="str">
        <x:v>ADMIN-HUM-005</x:v>
      </x:c>
      <x:c r="B51" s="36" t="str">
        <x:v>Human Extension</x:v>
      </x:c>
      <x:c r="C51" s="36" t="str">
        <x:v>Authorization / stale privilege</x:v>
      </x:c>
      <x:c r="D51" s="36" t="str">
        <x:v>Demote an admin account after issuing an admin JWT, then reuse the old JWT against the admin endpoint.</x:v>
      </x:c>
      <x:c r="E51" s="36" t="str">
        <x:v>1) Obtain admin JWT. 2) Change the account role to `user` through a controlled setup step. 3) Reuse the old JWT on `GET /api/admin/users`.</x:v>
      </x:c>
      <x:c r="F51" s="36" t="str"/>
      <x:c r="G51" s="36" t="str"/>
      <x:c r="H51" s="36" t="str"/>
      <x:c r="I51" s="36" t="str">
        <x:v>The AI listed stale-role behavior but did not clearly separate a high-value security observation from a spec-backed defect criterion.</x:v>
      </x:c>
      <x:c r="J51" s="36" t="str">
        <x:v>HUMAN EXTENSION</x:v>
      </x:c>
      <x:c r="K51" s="36" t="str">
        <x:v>Added after the AI audit to cover a gap or strengthen evidence.</x:v>
      </x:c>
      <x:c r="L51" s="36" t="str">
        <x:v>Characterize whether the old token retains Admin access. The supplied spec does not define immediate token revocation, so continued access is security-relevant but should not be promoted to a conformance bug unless another requirement defines role revalidation/revocation.</x:v>
      </x:c>
      <x:c r="M51" s="36" t="str">
        <x:v>Not selected</x:v>
      </x:c>
      <x:c r="N51" s="36" t="str">
        <x:v>NOT EXECUTED</x:v>
      </x:c>
      <x:c r="O51" s="36" t="str">
        <x:v>Retained after audit but not selected for the final executable suite; primarily spec-undefined/stale-token characterization.</x:v>
      </x:c>
      <x:c r="P51" s="36" t="str"/>
      <x:c r="Q51" s="36" t="str">
        <x:v>api3_access_control_human_extension.md</x:v>
      </x:c>
    </x:row>
    <x:row r="52" ht="48" customHeight="1">
      <x:c r="A52" s="36" t="str">
        <x:v>ADMIN-HUM-006</x:v>
      </x:c>
      <x:c r="B52" s="36" t="str">
        <x:v>Human Extension</x:v>
      </x:c>
      <x:c r="C52" s="36" t="str">
        <x:v>Response privacy / field exposure</x:v>
      </x:c>
      <x:c r="D52" s="36" t="str">
        <x:v>Inspect the successful admin user-list response for sensitive or unnecessary account-state fields.</x:v>
      </x:c>
      <x:c r="E52" s="36" t="str">
        <x:v>Call `GET /api/admin/users` with a valid admin JWT and inspect every returned field.</x:v>
      </x:c>
      <x:c r="F52" s="36" t="str"/>
      <x:c r="G52" s="36" t="str"/>
      <x:c r="H52" s="36" t="str"/>
      <x:c r="I52" s="36" t="str">
        <x:v>The AI checked several sensitive fields independently, but did not distinguish clearly between definitely sensitive credentials and merely potentially excessive administrative data.</x:v>
      </x:c>
      <x:c r="J52" s="36" t="str">
        <x:v>HUMAN EXTENSION</x:v>
      </x:c>
      <x:c r="K52" s="36" t="str">
        <x:v>Added after the AI audit to cover a gap or strengthen evidence.</x:v>
      </x:c>
      <x:c r="L52" s="36" t="str">
        <x:v>Passwords, reset tokens, and authentication tokens must not be exposed. Other fields such as `login_attempts`, `locked_until`, or `shipping_address` should be documented as observed exposure; do not classify them as defects unless a privacy/minimization requirement explicitly forbids them.</x:v>
      </x:c>
      <x:c r="M52" s="36" t="str">
        <x:v>Automated Newman</x:v>
      </x:c>
      <x:c r="N52" s="36" t="str">
        <x:v>PASS</x:v>
      </x:c>
      <x:c r="O52" s="36" t="str">
        <x:v>Executed successfully; corrected/characterization assertions passed.</x:v>
      </x:c>
      <x:c r="P52" s="36" t="str"/>
      <x:c r="Q52" s="36" t="str">
        <x:v>api3_access_control_human_extension.md</x:v>
      </x:c>
    </x:row>
  </x:sheetData>
  <x:mergeCells>
    <x:mergeCell ref="A1:Q1"/>
    <x:mergeCell ref="A3:Q3"/>
  </x:mergeCells>
  <x:conditionalFormatting sqref="J5:J52">
    <x:cfRule type="expression" dxfId="14" priority="1">
      <x:formula>J5="VALID"</x:formula>
    </x:cfRule>
    <x:cfRule type="expression" dxfId="15" priority="2">
      <x:formula>J5="INVALID"</x:formula>
    </x:cfRule>
    <x:cfRule type="expression" dxfId="16" priority="3">
      <x:formula>J5="INCOMPLETE"</x:formula>
    </x:cfRule>
    <x:cfRule type="expression" dxfId="17" priority="4">
      <x:formula>J5="HUMAN EXTENSION"</x:formula>
    </x:cfRule>
  </x:conditionalFormatting>
  <x:conditionalFormatting sqref="N5:N52">
    <x:cfRule type="expression" dxfId="18" priority="5">
      <x:formula>N5="PASS"</x:formula>
    </x:cfRule>
    <x:cfRule type="expression" dxfId="19" priority="6">
      <x:formula>N5="FAIL"</x:formula>
    </x:cfRule>
    <x:cfRule type="expression" dxfId="20" priority="7">
      <x:formula>N5="NOT EXECUTED"</x:formula>
    </x:cfRule>
  </x:conditionalFormatting>
  <x:pageMargins left="0.7" right="0.7" top="0.75" bottom="0.75" header="0.3" footer="0.3"/>
  <x:tableParts count="1">
    <x:tablePart xmlns:r="http://schemas.openxmlformats.org/officeDocument/2006/relationships" r:id="R9ed295a644f848ee"/>
  </x:tableParts>
</x:worksheet>
</file>

<file path=xl/worksheets/sheet4.xml><?xml version="1.0" encoding="utf-8"?>
<x:worksheet xmlns:x="http://schemas.openxmlformats.org/spreadsheetml/2006/main">
  <x:sheetFormatPr defaultRowHeight="15"/>
  <x:cols>
    <x:col min="1" max="1" width="10" hidden="0" customWidth="1"/>
    <x:col min="2" max="2" width="10" hidden="0" customWidth="1"/>
    <x:col min="3" max="3" width="48" hidden="0" customWidth="1"/>
    <x:col min="4" max="4" width="18" hidden="0" customWidth="1"/>
    <x:col min="5" max="5" width="42" hidden="0" customWidth="1"/>
    <x:col min="6" max="6" width="62" hidden="0" customWidth="1"/>
  </x:cols>
  <x:sheetData>
    <x:row r="1" ht="28" customHeight="1">
      <x:c r="A1" s="5" t="str">
        <x:v>HW06 — Confirmed Bug Register</x:v>
      </x:c>
      <x:c r="B1" s="5"/>
      <x:c r="C1" s="5"/>
      <x:c r="D1" s="5"/>
      <x:c r="E1" s="5"/>
      <x:c r="F1" s="5"/>
    </x:row>
    <x:row r="3">
      <x:c r="A3" s="30" t="str">
        <x:v>Issue</x:v>
      </x:c>
      <x:c r="B3" s="30" t="str">
        <x:v>API</x:v>
      </x:c>
      <x:c r="C3" s="30" t="str">
        <x:v>Title</x:v>
      </x:c>
      <x:c r="D3" s="30" t="str">
        <x:v>Severity</x:v>
      </x:c>
      <x:c r="E3" s="30" t="str">
        <x:v>Primary Evidence</x:v>
      </x:c>
      <x:c r="F3" s="30" t="str">
        <x:v>GitHub Issue URL</x:v>
      </x:c>
    </x:row>
    <x:row r="4" ht="34" customHeight="1">
      <x:c r="A4" s="36" t="str">
        <x:v>#1</x:v>
      </x:c>
      <x:c r="B4" s="36" t="str">
        <x:v>API 1</x:v>
      </x:c>
      <x:c r="C4" s="36" t="str">
        <x:v>Registration unsupported/missing Content-Type causes HTTP 500</x:v>
      </x:c>
      <x:c r="D4" s="36" t="str">
        <x:v>Medium</x:v>
      </x:c>
      <x:c r="E4" s="36" t="str">
        <x:v>REG-HUM-001 / REG-HUM-002; Newman API1</x:v>
      </x:c>
      <x:c r="F4" s="36" t="str">
        <x:v>https://github.com/aohymevoL666/software-testing-homework6/issues/1</x:v>
      </x:c>
    </x:row>
    <x:row r="5" ht="34" customHeight="1">
      <x:c r="A5" s="36" t="str">
        <x:v>#2</x:v>
      </x:c>
      <x:c r="B5" s="36" t="str">
        <x:v>API 3</x:v>
      </x:c>
      <x:c r="C5" s="36" t="str">
        <x:v>Non-admin user can access GET /api/admin/users</x:v>
      </x:c>
      <x:c r="D5" s="36" t="str">
        <x:v>High</x:v>
      </x:c>
      <x:c r="E5" s="36" t="str">
        <x:v>ADMIN-AI-002 / ADMIN-HUM-001 / ADMIN-HUM-003</x:v>
      </x:c>
      <x:c r="F5" s="36" t="str">
        <x:v>https://github.com/aohymevoL666/software-testing-homework6/issues/2</x:v>
      </x:c>
    </x:row>
    <x:row r="6" ht="34" customHeight="1">
      <x:c r="A6" s="36" t="str">
        <x:v>#3</x:v>
      </x:c>
      <x:c r="B6" s="36" t="str">
        <x:v>API 3</x:v>
      </x:c>
      <x:c r="C6" s="36" t="str">
        <x:v>Valid JWT accepted under Basic instead of Bearer scheme</x:v>
      </x:c>
      <x:c r="D6" s="36" t="str">
        <x:v>Medium</x:v>
      </x:c>
      <x:c r="E6" s="36" t="str">
        <x:v>ADMIN-HUM-004</x:v>
      </x:c>
      <x:c r="F6" s="36" t="str">
        <x:v>https://github.com/aohymevoL666/software-testing-homework6/issues/3</x:v>
      </x:c>
    </x:row>
    <x:row r="7" ht="34" customHeight="1">
      <x:c r="A7" s="36" t="str">
        <x:v>#4</x:v>
      </x:c>
      <x:c r="B7" s="36" t="str">
        <x:v>API 3</x:v>
      </x:c>
      <x:c r="C7" s="36" t="str">
        <x:v>Normal user can self-assign Admin role via PUT /api/users/me</x:v>
      </x:c>
      <x:c r="D7" s="36" t="str">
        <x:v>High / Critical</x:v>
      </x:c>
      <x:c r="E7" s="36" t="str">
        <x:v>ADMIN-HUM-002</x:v>
      </x:c>
      <x:c r="F7" s="36" t="str">
        <x:v>https://github.com/aohymevoL666/software-testing-homework6/issues/4</x:v>
      </x:c>
    </x:row>
  </x:sheetData>
  <x:mergeCells>
    <x:mergeCell ref="A1:F1"/>
  </x:mergeCells>
  <x:conditionalFormatting sqref="D4:D7">
    <x:cfRule type="expression" dxfId="21" priority="1">
      <x:formula>LEFT(D4,4)="High"</x:formula>
    </x:cfRule>
    <x:cfRule type="expression" dxfId="22" priority="2">
      <x:formula>D4="Medium"</x:formula>
    </x:cfRule>
  </x:conditionalFormatting>
  <x:pageMargins left="0.7" right="0.7" top="0.75" bottom="0.75" header="0.3" footer="0.3"/>
  <x:tableParts count="1">
    <x:tablePart xmlns:r="http://schemas.openxmlformats.org/officeDocument/2006/relationships" r:id="R802d8998cf4e450f"/>
  </x:tableParts>
</x:worksheet>
</file>

<file path=xl/worksheets/sheet5.xml><?xml version="1.0" encoding="utf-8"?>
<x:worksheet xmlns:x="http://schemas.openxmlformats.org/spreadsheetml/2006/main">
  <x:sheetFormatPr defaultRowHeight="15"/>
  <x:cols>
    <x:col min="1" max="1" width="11" hidden="0" customWidth="1"/>
    <x:col min="2" max="2" width="70" hidden="0" customWidth="1"/>
    <x:col min="3" max="3" width="24" hidden="0" customWidth="1"/>
    <x:col min="4" max="4" width="13" hidden="0" customWidth="1"/>
    <x:col min="5" max="5" width="11" hidden="0" customWidth="1"/>
    <x:col min="6" max="6" width="11" hidden="0" customWidth="1"/>
    <x:col min="7" max="7" width="13" hidden="0" customWidth="1"/>
    <x:col min="8" max="8" width="12" hidden="0" customWidth="1"/>
    <x:col min="9" max="9" width="12" hidden="0" customWidth="1"/>
    <x:col min="10" max="10" width="11" hidden="0" customWidth="1"/>
    <x:col min="11" max="11" width="10" hidden="0" customWidth="1"/>
    <x:col min="12" max="12" width="10" hidden="0" customWidth="1"/>
    <x:col min="13" max="13" width="13" hidden="0" customWidth="1"/>
    <x:col min="14" max="14" width="15" hidden="0" customWidth="1"/>
  </x:cols>
  <x:sheetData>
    <x:row r="1" ht="30" customHeight="1">
      <x:c r="A1" s="5" t="str">
        <x:v>HW06 API Testing — Test Case Summary</x:v>
      </x:c>
      <x:c r="B1" s="5"/>
      <x:c r="C1" s="5"/>
      <x:c r="D1" s="5"/>
      <x:c r="E1" s="5"/>
      <x:c r="F1" s="5"/>
      <x:c r="G1" s="5"/>
      <x:c r="H1" s="5"/>
      <x:c r="I1" s="5"/>
      <x:c r="J1" s="5"/>
      <x:c r="K1" s="5"/>
      <x:c r="L1" s="5"/>
      <x:c r="M1" s="5"/>
      <x:c r="N1" s="5"/>
    </x:row>
    <x:row r="2" ht="22" customHeight="1">
      <x:c r="A2" s="12" t="str">
        <x:v>Student ID</x:v>
      </x:c>
      <x:c r="B2" s="46" t="str">
        <x:v>23127531</x:v>
      </x:c>
      <x:c r="C2" s="38" t="str">
        <x:v>SUT Base URL</x:v>
      </x:c>
      <x:c r="D2" s="46" t="str">
        <x:v>http://localhost:3000</x:v>
      </x:c>
      <x:c r="E2" s="38"/>
      <x:c r="F2" s="46"/>
      <x:c r="G2" s="50"/>
      <x:c r="H2" s="50"/>
      <x:c r="I2" s="50"/>
      <x:c r="J2" s="50"/>
      <x:c r="K2" s="50"/>
      <x:c r="L2" s="50"/>
      <x:c r="M2" s="50"/>
      <x:c r="N2" s="50"/>
    </x:row>
    <x:row r="3" ht="22" customHeight="1">
      <x:c r="A3" s="12" t="str">
        <x:v>Repository</x:v>
      </x:c>
      <x:c r="B3" s="51" t="str">
        <x:v>https://github.com/aohymevoL666/software-testing-homework6</x:v>
      </x:c>
      <x:c r="C3" s="51"/>
      <x:c r="D3" s="51"/>
      <x:c r="E3" s="51"/>
      <x:c r="F3" s="51"/>
      <x:c r="G3" s="51"/>
      <x:c r="H3" s="51"/>
      <x:c r="I3" s="51"/>
      <x:c r="J3" s="51"/>
      <x:c r="K3" s="51"/>
      <x:c r="L3" s="51"/>
      <x:c r="M3" s="51"/>
      <x:c r="N3" s="51"/>
    </x:row>
    <x:row r="4" ht="34" customHeight="1">
      <x:c r="A4" s="30" t="str">
        <x:v>API</x:v>
      </x:c>
      <x:c r="B4" s="30" t="str">
        <x:v>Feature</x:v>
      </x:c>
      <x:c r="C4" s="30" t="str">
        <x:v>Endpoint</x:v>
      </x:c>
      <x:c r="D4" s="30" t="str">
        <x:v>AI Generated</x:v>
      </x:c>
      <x:c r="E4" s="30" t="str">
        <x:v>VALID</x:v>
      </x:c>
      <x:c r="F4" s="30" t="str">
        <x:v>INVALID</x:v>
      </x:c>
      <x:c r="G4" s="30" t="str">
        <x:v>INCOMPLETE</x:v>
      </x:c>
      <x:c r="H4" s="30" t="str">
        <x:v>Human Added</x:v>
      </x:c>
      <x:c r="I4" s="30" t="str">
        <x:v>Total Cases</x:v>
      </x:c>
      <x:c r="J4" s="30" t="str">
        <x:v>Executed</x:v>
      </x:c>
      <x:c r="K4" s="30" t="str">
        <x:v>PASS</x:v>
      </x:c>
      <x:c r="L4" s="30" t="str">
        <x:v>FAIL</x:v>
      </x:c>
      <x:c r="M4" s="30" t="str">
        <x:v>Not Executed</x:v>
      </x:c>
      <x:c r="N4" s="30" t="str">
        <x:v>Confirmed Bugs</x:v>
      </x:c>
    </x:row>
    <x:row r="5" ht="28" customHeight="1">
      <x:c r="A5" s="46" t="str">
        <x:v>API 1</x:v>
      </x:c>
      <x:c r="B5" s="46" t="str">
        <x:v>FR-01 Account Registration</x:v>
      </x:c>
      <x:c r="C5" s="46" t="str">
        <x:v>POST /api/register</x:v>
      </x:c>
      <x:c r="D5" s="46" t="n">
        <x:f>COUNTIF('API1 Registration'!$B$5:$B$52,"AI Generated")</x:f>
        <x:v>42</x:v>
      </x:c>
      <x:c r="E5" s="46" t="n">
        <x:f>COUNTIF('API1 Registration'!$J$5:$J$52,"VALID")</x:f>
        <x:v>11</x:v>
      </x:c>
      <x:c r="F5" s="46" t="n">
        <x:f>COUNTIF('API1 Registration'!$J$5:$J$52,"INVALID")</x:f>
        <x:v>5</x:v>
      </x:c>
      <x:c r="G5" s="46" t="n">
        <x:f>COUNTIF('API1 Registration'!$J$5:$J$52,"INCOMPLETE")</x:f>
        <x:v>26</x:v>
      </x:c>
      <x:c r="H5" s="46" t="n">
        <x:f>COUNTIF('API1 Registration'!$B$5:$B$52,"Human Extension")</x:f>
        <x:v>6</x:v>
      </x:c>
      <x:c r="I5" s="46" t="n">
        <x:f>COUNTA('API1 Registration'!$A$5:$A$52)</x:f>
        <x:v>48</x:v>
      </x:c>
      <x:c r="J5" s="46" t="n">
        <x:f>COUNTIF('API1 Registration'!$N$5:$N$52,"PASS")+COUNTIF('API1 Registration'!$N$5:$N$52,"FAIL")</x:f>
        <x:v>48</x:v>
      </x:c>
      <x:c r="K5" s="46" t="n">
        <x:f>COUNTIF('API1 Registration'!$N$5:$N$52,"PASS")</x:f>
        <x:v>46</x:v>
      </x:c>
      <x:c r="L5" s="46" t="n">
        <x:f>COUNTIF('API1 Registration'!$N$5:$N$52,"FAIL")</x:f>
        <x:v>2</x:v>
      </x:c>
      <x:c r="M5" s="46" t="n">
        <x:f>COUNTIF('API1 Registration'!$N$5:$N$52,"NOT EXECUTED")</x:f>
        <x:v>0</x:v>
      </x:c>
      <x:c r="N5" s="46" t="n">
        <x:f>COUNTIF('Bug Register'!$B$4:$B$7,A5)</x:f>
        <x:v>1</x:v>
      </x:c>
    </x:row>
    <x:row r="6" ht="28" customHeight="1">
      <x:c r="A6" s="46" t="str">
        <x:v>API 2</x:v>
      </x:c>
      <x:c r="B6" s="46" t="str">
        <x:v>FR-07 Shopping Cart</x:v>
      </x:c>
      <x:c r="C6" s="46" t="str">
        <x:v>POST /api/cart</x:v>
      </x:c>
      <x:c r="D6" s="46" t="n">
        <x:f>COUNTIF('API2 Cart'!$B$5:$B$52,"AI Generated")</x:f>
        <x:v>42</x:v>
      </x:c>
      <x:c r="E6" s="46" t="n">
        <x:f>COUNTIF('API2 Cart'!$J$5:$J$52,"VALID")</x:f>
        <x:v>13</x:v>
      </x:c>
      <x:c r="F6" s="46" t="n">
        <x:f>COUNTIF('API2 Cart'!$J$5:$J$52,"INVALID")</x:f>
        <x:v>2</x:v>
      </x:c>
      <x:c r="G6" s="46" t="n">
        <x:f>COUNTIF('API2 Cart'!$J$5:$J$52,"INCOMPLETE")</x:f>
        <x:v>27</x:v>
      </x:c>
      <x:c r="H6" s="46" t="n">
        <x:f>COUNTIF('API2 Cart'!$B$5:$B$52,"Human Extension")</x:f>
        <x:v>6</x:v>
      </x:c>
      <x:c r="I6" s="46" t="n">
        <x:f>COUNTA('API2 Cart'!$A$5:$A$52)</x:f>
        <x:v>48</x:v>
      </x:c>
      <x:c r="J6" s="46" t="n">
        <x:f>COUNTIF('API2 Cart'!$N$5:$N$52,"PASS")+COUNTIF('API2 Cart'!$N$5:$N$52,"FAIL")</x:f>
        <x:v>48</x:v>
      </x:c>
      <x:c r="K6" s="46" t="n">
        <x:f>COUNTIF('API2 Cart'!$N$5:$N$52,"PASS")</x:f>
        <x:v>48</x:v>
      </x:c>
      <x:c r="L6" s="46" t="n">
        <x:f>COUNTIF('API2 Cart'!$N$5:$N$52,"FAIL")</x:f>
        <x:v>0</x:v>
      </x:c>
      <x:c r="M6" s="46" t="n">
        <x:f>COUNTIF('API2 Cart'!$N$5:$N$52,"NOT EXECUTED")</x:f>
        <x:v>0</x:v>
      </x:c>
      <x:c r="N6" s="46" t="n">
        <x:f>COUNTIF('Bug Register'!$B$4:$B$7,A6)</x:f>
        <x:v>0</x:v>
      </x:c>
    </x:row>
    <x:row r="7" ht="28" customHeight="1">
      <x:c r="A7" s="46" t="str">
        <x:v>API 3</x:v>
      </x:c>
      <x:c r="B7" s="46" t="str">
        <x:v>FR-12 Access Control</x:v>
      </x:c>
      <x:c r="C7" s="46" t="str">
        <x:v>GET /api/admin/users</x:v>
      </x:c>
      <x:c r="D7" s="46" t="n">
        <x:f>COUNTIF('API3 Access'!$B$5:$B$52,"AI Generated")</x:f>
        <x:v>42</x:v>
      </x:c>
      <x:c r="E7" s="46" t="n">
        <x:f>COUNTIF('API3 Access'!$J$5:$J$52,"VALID")</x:f>
        <x:v>26</x:v>
      </x:c>
      <x:c r="F7" s="46" t="n">
        <x:f>COUNTIF('API3 Access'!$J$5:$J$52,"INVALID")</x:f>
        <x:v>0</x:v>
      </x:c>
      <x:c r="G7" s="46" t="n">
        <x:f>COUNTIF('API3 Access'!$J$5:$J$52,"INCOMPLETE")</x:f>
        <x:v>16</x:v>
      </x:c>
      <x:c r="H7" s="46" t="n">
        <x:f>COUNTIF('API3 Access'!$B$5:$B$52,"Human Extension")</x:f>
        <x:v>6</x:v>
      </x:c>
      <x:c r="I7" s="46" t="n">
        <x:f>COUNTA('API3 Access'!$A$5:$A$52)</x:f>
        <x:v>48</x:v>
      </x:c>
      <x:c r="J7" s="46" t="n">
        <x:f>COUNTIF('API3 Access'!$N$5:$N$52,"PASS")+COUNTIF('API3 Access'!$N$5:$N$52,"FAIL")</x:f>
        <x:v>35</x:v>
      </x:c>
      <x:c r="K7" s="46" t="n">
        <x:f>COUNTIF('API3 Access'!$N$5:$N$52,"PASS")</x:f>
        <x:v>27</x:v>
      </x:c>
      <x:c r="L7" s="46" t="n">
        <x:f>COUNTIF('API3 Access'!$N$5:$N$52,"FAIL")</x:f>
        <x:v>8</x:v>
      </x:c>
      <x:c r="M7" s="46" t="n">
        <x:f>COUNTIF('API3 Access'!$N$5:$N$52,"NOT EXECUTED")</x:f>
        <x:v>13</x:v>
      </x:c>
      <x:c r="N7" s="46" t="n">
        <x:f>COUNTIF('Bug Register'!$B$4:$B$7,A7)</x:f>
        <x:v>3</x:v>
      </x:c>
    </x:row>
    <x:row r="8" ht="28" customHeight="1">
      <x:c r="A8" s="42" t="str">
        <x:v>OVERALL</x:v>
      </x:c>
      <x:c r="B8" s="42" t="str">
        <x:v>All 3 selected APIs</x:v>
      </x:c>
      <x:c r="C8" s="42" t="str"/>
      <x:c r="D8" s="42" t="n">
        <x:f>SUM(D5:D7)</x:f>
        <x:v>126</x:v>
      </x:c>
      <x:c r="E8" s="42" t="n">
        <x:f>SUM(E5:E7)</x:f>
        <x:v>50</x:v>
      </x:c>
      <x:c r="F8" s="42" t="n">
        <x:f>SUM(F5:F7)</x:f>
        <x:v>7</x:v>
      </x:c>
      <x:c r="G8" s="42" t="n">
        <x:f>SUM(G5:G7)</x:f>
        <x:v>69</x:v>
      </x:c>
      <x:c r="H8" s="42" t="n">
        <x:f>SUM(H5:H7)</x:f>
        <x:v>18</x:v>
      </x:c>
      <x:c r="I8" s="42" t="n">
        <x:f>SUM(I5:I7)</x:f>
        <x:v>144</x:v>
      </x:c>
      <x:c r="J8" s="42" t="n">
        <x:f>SUM(J5:J7)</x:f>
        <x:v>131</x:v>
      </x:c>
      <x:c r="K8" s="42" t="n">
        <x:f>SUM(K5:K7)</x:f>
        <x:v>121</x:v>
      </x:c>
      <x:c r="L8" s="42" t="n">
        <x:f>SUM(L5:L7)</x:f>
        <x:v>10</x:v>
      </x:c>
      <x:c r="M8" s="42" t="n">
        <x:f>SUM(M5:M7)</x:f>
        <x:v>13</x:v>
      </x:c>
      <x:c r="N8" s="42" t="n">
        <x:f>SUM(N5:N7)</x:f>
        <x:v>4</x:v>
      </x:c>
    </x:row>
    <x:row r="11">
      <x:c r="A11" s="30" t="str">
        <x:v>API</x:v>
      </x:c>
      <x:c r="B11" s="30" t="str">
        <x:v>Total Cases</x:v>
      </x:c>
      <x:c r="C11" s="30" t="str">
        <x:v>Executed</x:v>
      </x:c>
      <x:c r="D11" s="30" t="str">
        <x:v>PASS</x:v>
      </x:c>
      <x:c r="E11" s="30" t="str">
        <x:v>FAIL</x:v>
      </x:c>
    </x:row>
    <x:row r="12">
      <x:c r="A12" s="16" t="str">
        <x:v>API 1</x:v>
      </x:c>
      <x:c r="B12" s="16" t="n">
        <x:f>I5</x:f>
        <x:v>48</x:v>
      </x:c>
      <x:c r="C12" s="16" t="n">
        <x:f>J5</x:f>
        <x:v>48</x:v>
      </x:c>
      <x:c r="D12" s="16" t="n">
        <x:f>K5</x:f>
        <x:v>46</x:v>
      </x:c>
      <x:c r="E12" s="16" t="n">
        <x:f>L5</x:f>
        <x:v>2</x:v>
      </x:c>
    </x:row>
    <x:row r="13">
      <x:c r="A13" s="16" t="str">
        <x:v>API 2</x:v>
      </x:c>
      <x:c r="B13" s="16" t="n">
        <x:f>I6</x:f>
        <x:v>48</x:v>
      </x:c>
      <x:c r="C13" s="16" t="n">
        <x:f>J6</x:f>
        <x:v>48</x:v>
      </x:c>
      <x:c r="D13" s="16" t="n">
        <x:f>K6</x:f>
        <x:v>48</x:v>
      </x:c>
      <x:c r="E13" s="16" t="n">
        <x:f>L6</x:f>
        <x:v>0</x:v>
      </x:c>
    </x:row>
    <x:row r="14">
      <x:c r="A14" s="16" t="str">
        <x:v>API 3</x:v>
      </x:c>
      <x:c r="B14" s="16" t="n">
        <x:f>I7</x:f>
        <x:v>48</x:v>
      </x:c>
      <x:c r="C14" s="16" t="n">
        <x:f>J7</x:f>
        <x:v>35</x:v>
      </x:c>
      <x:c r="D14" s="16" t="n">
        <x:f>K7</x:f>
        <x:v>27</x:v>
      </x:c>
      <x:c r="E14" s="16" t="n">
        <x:f>L7</x:f>
        <x:v>8</x:v>
      </x:c>
    </x:row>
    <x:row r="17">
      <x:c r="A17" s="42" t="str">
        <x:v>Execution notes</x:v>
      </x:c>
      <x:c r="B17" s="42"/>
      <x:c r="C17" s="42"/>
      <x:c r="D17" s="42"/>
      <x:c r="E17" s="42"/>
      <x:c r="F17" s="42"/>
      <x:c r="G17" s="42"/>
      <x:c r="H17" s="42"/>
      <x:c r="I17" s="42"/>
      <x:c r="J17" s="42"/>
      <x:c r="K17" s="42"/>
      <x:c r="L17" s="42"/>
      <x:c r="M17" s="42"/>
      <x:c r="N17" s="42"/>
    </x:row>
    <x:row r="18" ht="58" customHeight="1">
      <x:c r="A18" s="12" t="str">
        <x:v>API 1</x:v>
      </x:c>
      <x:c r="B18" s="36" t="str">
        <x:v>All 48 logical cases were executed in Newman. Two human robustness cases failed because unsupported/missing Content-Type produced HTTP 500; both map to GitHub Issue #1.</x:v>
      </x:c>
    </x:row>
    <x:row r="19" ht="58" customHeight="1">
      <x:c r="A19" s="12" t="str">
        <x:v>API 2</x:v>
      </x:c>
      <x:c r="B19" s="36" t="str">
        <x:v>47 logical cases were automated in Newman and CART-HUM-006 was executed manually across a backend restart. All 48 passed their corrected/characterization oracles.</x:v>
      </x:c>
    </x:row>
    <x:row r="20" ht="58" customHeight="1">
      <x:c r="A20" s="12" t="str">
        <x:v>API 3</x:v>
      </x:c>
      <x:c r="B20" s="36" t="str">
        <x:v>35 logical cases were selected for the final executable suite after audit. Eight logical cases exposed three confirmed security defects; 13 retained cases were not selected because they were primarily spec-undefined stale-token/role-state characterizations.</x:v>
      </x:c>
    </x:row>
  </x:sheetData>
  <x:mergeCells>
    <x:mergeCell ref="A1:N1"/>
    <x:mergeCell ref="A17:N17"/>
    <x:mergeCell ref="B3:N3"/>
  </x:mergeCells>
  <x:conditionalFormatting sqref="L5:L8">
    <x:cfRule type="dataBar" priority="1">
      <x:dataBar>
        <x:cfvo type="min"/>
        <x:cfvo type="max"/>
        <x:color rgb="FFE97132"/>
      </x:dataBar>
      <x:extLst>
        <x:ext xmlns:x14="http://schemas.microsoft.com/office/spreadsheetml/2009/9/main" uri="{B025F937-C7B1-47D3-B67F-A62EFF666E3E}">
          <x14:id>{8213237C-262D-8CED-9257-E0A72B4BD1FC}</x14:id>
        </x:ext>
      </x:extLst>
    </x:cfRule>
  </x:conditionalFormatting>
  <x:conditionalFormatting sqref="N5:N8">
    <x:cfRule type="dataBar" priority="2">
      <x:dataBar>
        <x:cfvo type="min"/>
        <x:cfvo type="max"/>
        <x:color rgb="FFA02B93"/>
      </x:dataBar>
      <x:extLst>
        <x:ext xmlns:x14="http://schemas.microsoft.com/office/spreadsheetml/2009/9/main" uri="{B025F937-C7B1-47D3-B67F-A62EFF666E3E}">
          <x14:id>{74327466-E964-C229-8BA0-2CF9360A3A34}</x14:id>
        </x:ext>
      </x:extLst>
    </x:cfRule>
  </x:conditionalFormatting>
  <x:pageMargins left="0.7" right="0.7" top="0.75" bottom="0.75" header="0.3" footer="0.3"/>
  <x:drawing xmlns:r="http://schemas.openxmlformats.org/officeDocument/2006/relationships" r:id="R1bb6089d4d2945c5"/>
  <x:extLst>
    <x:ext xmlns:x14="http://schemas.microsoft.com/office/spreadsheetml/2009/9/main" xmlns:xm="http://schemas.microsoft.com/office/excel/2006/main" uri="{78C0D931-6437-407d-A8EE-F0AAD7539E65}">
      <x14:conditionalFormattings>
        <x14:conditionalFormatting>
          <x14:cfRule type="dataBar" priority="1" id="{8213237C-262D-8CED-9257-E0A72B4BD1FC}">
            <x14:dataBar gradient="1">
              <x14:cfvo type="min"/>
              <x14:cfvo type="max"/>
              <x14:fillColor rgb="FFE97132"/>
            </x14:dataBar>
          </x14:cfRule>
          <xm:sqref>L5:L8</xm:sqref>
        </x14:conditionalFormatting>
        <x14:conditionalFormatting>
          <x14:cfRule type="dataBar" priority="2" id="{74327466-E964-C229-8BA0-2CF9360A3A34}">
            <x14:dataBar gradient="1">
              <x14:cfvo type="min"/>
              <x14:cfvo type="max"/>
              <x14:fillColor rgb="FFA02B93"/>
            </x14:dataBar>
          </x14:cfRule>
          <xm:sqref>N5:N8</xm:sqref>
        </x14:conditionalFormatting>
      </x14:conditionalFormattings>
    </x:ext>
  </x:extLst>
</x:worksheet>
</file>